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46188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46188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46188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46188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9268-2023</t>
        </is>
      </c>
      <c r="B11" s="1" t="n">
        <v>44980</v>
      </c>
      <c r="C11" s="1" t="n">
        <v>46188</v>
      </c>
      <c r="D11" t="inlineStr">
        <is>
          <t>STOCKHOLMS LÄN</t>
        </is>
      </c>
      <c r="E11" t="inlineStr">
        <is>
          <t>NYNÄSHAMN</t>
        </is>
      </c>
      <c r="G11" t="n">
        <v>4.9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HYPERLINK("https://klasma.github.io/Logging_0192/artfynd/A 9268-2023 artfynd.xlsx", "A 9268-2023")</f>
        <v/>
      </c>
      <c r="T11">
        <f>HYPERLINK("https://klasma.github.io/Logging_0192/kartor/A 9268-2023 karta.png", "A 9268-2023")</f>
        <v/>
      </c>
      <c r="V11">
        <f>HYPERLINK("https://klasma.github.io/Logging_0192/klagomål/A 9268-2023 FSC-klagomål.docx", "A 9268-2023")</f>
        <v/>
      </c>
      <c r="W11">
        <f>HYPERLINK("https://klasma.github.io/Logging_0192/klagomålsmail/A 9268-2023 FSC-klagomål mail.docx", "A 9268-2023")</f>
        <v/>
      </c>
      <c r="X11">
        <f>HYPERLINK("https://klasma.github.io/Logging_0192/tillsyn/A 9268-2023 tillsynsbegäran.docx", "A 9268-2023")</f>
        <v/>
      </c>
      <c r="Y11">
        <f>HYPERLINK("https://klasma.github.io/Logging_0192/tillsynsmail/A 9268-2023 tillsynsbegäran mail.docx", "A 9268-2023")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46188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46188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46188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46188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23906-2026</t>
        </is>
      </c>
      <c r="B16" s="1" t="n">
        <v>46167.47760416667</v>
      </c>
      <c r="C16" s="1" t="n">
        <v>46188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7.9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23906-2026 artfynd.xlsx", "A 23906-2026")</f>
        <v/>
      </c>
      <c r="T16">
        <f>HYPERLINK("https://klasma.github.io/Logging_0192/kartor/A 23906-2026 karta.png", "A 23906-2026")</f>
        <v/>
      </c>
      <c r="V16">
        <f>HYPERLINK("https://klasma.github.io/Logging_0192/klagomål/A 23906-2026 FSC-klagomål.docx", "A 23906-2026")</f>
        <v/>
      </c>
      <c r="W16">
        <f>HYPERLINK("https://klasma.github.io/Logging_0192/klagomålsmail/A 23906-2026 FSC-klagomål mail.docx", "A 23906-2026")</f>
        <v/>
      </c>
      <c r="X16">
        <f>HYPERLINK("https://klasma.github.io/Logging_0192/tillsyn/A 23906-2026 tillsynsbegäran.docx", "A 23906-2026")</f>
        <v/>
      </c>
      <c r="Y16">
        <f>HYPERLINK("https://klasma.github.io/Logging_0192/tillsynsmail/A 23906-2026 tillsynsbegäran mail.docx", "A 23906-2026")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46188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37422-2021</t>
        </is>
      </c>
      <c r="B18" s="1" t="n">
        <v>44398</v>
      </c>
      <c r="C18" s="1" t="n">
        <v>46188</v>
      </c>
      <c r="D18" t="inlineStr">
        <is>
          <t>STOCKHOLMS LÄN</t>
        </is>
      </c>
      <c r="E18" t="inlineStr">
        <is>
          <t>NYNÄSHAMN</t>
        </is>
      </c>
      <c r="G18" t="n">
        <v>25.8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HYPERLINK("https://klasma.github.io/Logging_0192/artfynd/A 37422-2021 artfynd.xlsx", "A 37422-2021")</f>
        <v/>
      </c>
      <c r="T18">
        <f>HYPERLINK("https://klasma.github.io/Logging_0192/kartor/A 37422-2021 karta.png", "A 37422-2021")</f>
        <v/>
      </c>
      <c r="V18">
        <f>HYPERLINK("https://klasma.github.io/Logging_0192/klagomål/A 37422-2021 FSC-klagomål.docx", "A 37422-2021")</f>
        <v/>
      </c>
      <c r="W18">
        <f>HYPERLINK("https://klasma.github.io/Logging_0192/klagomålsmail/A 37422-2021 FSC-klagomål mail.docx", "A 37422-2021")</f>
        <v/>
      </c>
      <c r="X18">
        <f>HYPERLINK("https://klasma.github.io/Logging_0192/tillsyn/A 37422-2021 tillsynsbegäran.docx", "A 37422-2021")</f>
        <v/>
      </c>
      <c r="Y18">
        <f>HYPERLINK("https://klasma.github.io/Logging_0192/tillsynsmail/A 37422-2021 tillsynsbegäran mail.docx", "A 37422-2021")</f>
        <v/>
      </c>
      <c r="Z18">
        <f>HYPERLINK("https://klasma.github.io/Logging_0192/fåglar/A 37422-2021 prioriterade fågelarter.docx", "A 37422-2021")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46188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31842-2023</t>
        </is>
      </c>
      <c r="B20" s="1" t="n">
        <v>45118</v>
      </c>
      <c r="C20" s="1" t="n">
        <v>46188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HYPERLINK("https://klasma.github.io/Logging_0192/artfynd/A 31842-2023 artfynd.xlsx", "A 31842-2023")</f>
        <v/>
      </c>
      <c r="T20">
        <f>HYPERLINK("https://klasma.github.io/Logging_0192/kartor/A 31842-2023 karta.png", "A 31842-2023")</f>
        <v/>
      </c>
      <c r="V20">
        <f>HYPERLINK("https://klasma.github.io/Logging_0192/klagomål/A 31842-2023 FSC-klagomål.docx", "A 31842-2023")</f>
        <v/>
      </c>
      <c r="W20">
        <f>HYPERLINK("https://klasma.github.io/Logging_0192/klagomålsmail/A 31842-2023 FSC-klagomål mail.docx", "A 31842-2023")</f>
        <v/>
      </c>
      <c r="X20">
        <f>HYPERLINK("https://klasma.github.io/Logging_0192/tillsyn/A 31842-2023 tillsynsbegäran.docx", "A 31842-2023")</f>
        <v/>
      </c>
      <c r="Y20">
        <f>HYPERLINK("https://klasma.github.io/Logging_0192/tillsynsmail/A 31842-2023 tillsynsbegäran mail.docx", "A 31842-2023")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46188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46188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46188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46188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46188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32011-2023</t>
        </is>
      </c>
      <c r="B26" s="1" t="n">
        <v>45119</v>
      </c>
      <c r="C26" s="1" t="n">
        <v>46188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HYPERLINK("https://klasma.github.io/Logging_0192/artfynd/A 32011-2023 artfynd.xlsx", "A 32011-2023")</f>
        <v/>
      </c>
      <c r="T26">
        <f>HYPERLINK("https://klasma.github.io/Logging_0192/kartor/A 32011-2023 karta.png", "A 32011-2023")</f>
        <v/>
      </c>
      <c r="V26">
        <f>HYPERLINK("https://klasma.github.io/Logging_0192/klagomål/A 32011-2023 FSC-klagomål.docx", "A 32011-2023")</f>
        <v/>
      </c>
      <c r="W26">
        <f>HYPERLINK("https://klasma.github.io/Logging_0192/klagomålsmail/A 32011-2023 FSC-klagomål mail.docx", "A 32011-2023")</f>
        <v/>
      </c>
      <c r="X26">
        <f>HYPERLINK("https://klasma.github.io/Logging_0192/tillsyn/A 32011-2023 tillsynsbegäran.docx", "A 32011-2023")</f>
        <v/>
      </c>
      <c r="Y26">
        <f>HYPERLINK("https://klasma.github.io/Logging_0192/tillsynsmail/A 32011-2023 tillsynsbegäran mail.docx", "A 32011-2023")</f>
        <v/>
      </c>
      <c r="Z26">
        <f>HYPERLINK("https://klasma.github.io/Logging_0192/fåglar/A 32011-2023 prioriterade fågelarter.docx", "A 32011-2023")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46188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46188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46188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46188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46188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46188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70850-2021</t>
        </is>
      </c>
      <c r="B34" s="1" t="n">
        <v>44538</v>
      </c>
      <c r="C34" s="1" t="n">
        <v>46188</v>
      </c>
      <c r="D34" t="inlineStr">
        <is>
          <t>STOCKHOLMS LÄN</t>
        </is>
      </c>
      <c r="E34" t="inlineStr">
        <is>
          <t>NYNÄSHAMN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41378-2021</t>
        </is>
      </c>
      <c r="B35" s="1" t="n">
        <v>44424</v>
      </c>
      <c r="C35" s="1" t="n">
        <v>46188</v>
      </c>
      <c r="D35" t="inlineStr">
        <is>
          <t>STOCKHOLMS LÄN</t>
        </is>
      </c>
      <c r="E35" t="inlineStr">
        <is>
          <t>NYNÄSHAMN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40183-2021</t>
        </is>
      </c>
      <c r="B36" s="1" t="n">
        <v>44418</v>
      </c>
      <c r="C36" s="1" t="n">
        <v>46188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73963-2021</t>
        </is>
      </c>
      <c r="B37" s="1" t="n">
        <v>44553.79121527778</v>
      </c>
      <c r="C37" s="1" t="n">
        <v>46188</v>
      </c>
      <c r="D37" t="inlineStr">
        <is>
          <t>STOCKHOLMS LÄN</t>
        </is>
      </c>
      <c r="E37" t="inlineStr">
        <is>
          <t>NYNÄSHAMN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73966-2021</t>
        </is>
      </c>
      <c r="B38" s="1" t="n">
        <v>44553.81094907408</v>
      </c>
      <c r="C38" s="1" t="n">
        <v>46188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73967-2021</t>
        </is>
      </c>
      <c r="B39" s="1" t="n">
        <v>44553.81719907407</v>
      </c>
      <c r="C39" s="1" t="n">
        <v>46188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49657-2021</t>
        </is>
      </c>
      <c r="B40" s="1" t="n">
        <v>44455.45670138889</v>
      </c>
      <c r="C40" s="1" t="n">
        <v>46188</v>
      </c>
      <c r="D40" t="inlineStr">
        <is>
          <t>STOCKHOLMS LÄN</t>
        </is>
      </c>
      <c r="E40" t="inlineStr">
        <is>
          <t>NYNÄSHAMN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48309-2022</t>
        </is>
      </c>
      <c r="B41" s="1" t="n">
        <v>44854</v>
      </c>
      <c r="C41" s="1" t="n">
        <v>46188</v>
      </c>
      <c r="D41" t="inlineStr">
        <is>
          <t>STOCKHOLMS LÄN</t>
        </is>
      </c>
      <c r="E41" t="inlineStr">
        <is>
          <t>NYNÄSHAMN</t>
        </is>
      </c>
      <c r="F41" t="inlineStr">
        <is>
          <t>Övriga statliga verk och myndigheter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52911-2024</t>
        </is>
      </c>
      <c r="B42" s="1" t="n">
        <v>45610.70392361111</v>
      </c>
      <c r="C42" s="1" t="n">
        <v>46188</v>
      </c>
      <c r="D42" t="inlineStr">
        <is>
          <t>STOCKHOLMS LÄN</t>
        </is>
      </c>
      <c r="E42" t="inlineStr">
        <is>
          <t>NYNÄSHAMN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48456-2025</t>
        </is>
      </c>
      <c r="B43" s="1" t="n">
        <v>45935.85752314814</v>
      </c>
      <c r="C43" s="1" t="n">
        <v>46188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8932-2023</t>
        </is>
      </c>
      <c r="B44" s="1" t="n">
        <v>44979</v>
      </c>
      <c r="C44" s="1" t="n">
        <v>46188</v>
      </c>
      <c r="D44" t="inlineStr">
        <is>
          <t>STOCKHOLMS LÄN</t>
        </is>
      </c>
      <c r="E44" t="inlineStr">
        <is>
          <t>NYNÄSHAMN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15465-2025</t>
        </is>
      </c>
      <c r="B45" s="1" t="n">
        <v>45747.51586805555</v>
      </c>
      <c r="C45" s="1" t="n">
        <v>46188</v>
      </c>
      <c r="D45" t="inlineStr">
        <is>
          <t>STOCKHOLMS LÄN</t>
        </is>
      </c>
      <c r="E45" t="inlineStr">
        <is>
          <t>NYNÄSHAMN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24288-2024</t>
        </is>
      </c>
      <c r="B46" s="1" t="n">
        <v>45457.4562037037</v>
      </c>
      <c r="C46" s="1" t="n">
        <v>46188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1658-2022</t>
        </is>
      </c>
      <c r="B47" s="1" t="n">
        <v>44574</v>
      </c>
      <c r="C47" s="1" t="n">
        <v>46188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1658-2022</t>
        </is>
      </c>
      <c r="B48" s="1" t="n">
        <v>44574</v>
      </c>
      <c r="C48" s="1" t="n">
        <v>46188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21202-2025</t>
        </is>
      </c>
      <c r="B49" s="1" t="n">
        <v>45779.47872685185</v>
      </c>
      <c r="C49" s="1" t="n">
        <v>46188</v>
      </c>
      <c r="D49" t="inlineStr">
        <is>
          <t>STOCKHOLMS LÄN</t>
        </is>
      </c>
      <c r="E49" t="inlineStr">
        <is>
          <t>NYNÄSHAMN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26190-2022</t>
        </is>
      </c>
      <c r="B50" s="1" t="n">
        <v>44735</v>
      </c>
      <c r="C50" s="1" t="n">
        <v>46188</v>
      </c>
      <c r="D50" t="inlineStr">
        <is>
          <t>STOCKHOLMS LÄN</t>
        </is>
      </c>
      <c r="E50" t="inlineStr">
        <is>
          <t>NYNÄSHAMN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51954-2025</t>
        </is>
      </c>
      <c r="B51" s="1" t="n">
        <v>45952</v>
      </c>
      <c r="C51" s="1" t="n">
        <v>46188</v>
      </c>
      <c r="D51" t="inlineStr">
        <is>
          <t>STOCKHOLMS LÄN</t>
        </is>
      </c>
      <c r="E51" t="inlineStr">
        <is>
          <t>NYNÄSHAMN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27748-2023</t>
        </is>
      </c>
      <c r="B52" s="1" t="n">
        <v>45098</v>
      </c>
      <c r="C52" s="1" t="n">
        <v>46188</v>
      </c>
      <c r="D52" t="inlineStr">
        <is>
          <t>STOCKHOLMS LÄN</t>
        </is>
      </c>
      <c r="E52" t="inlineStr">
        <is>
          <t>NYNÄSHAMN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7180-2024</t>
        </is>
      </c>
      <c r="B53" s="1" t="n">
        <v>45344</v>
      </c>
      <c r="C53" s="1" t="n">
        <v>46188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2367-2023</t>
        </is>
      </c>
      <c r="B54" s="1" t="n">
        <v>44942.67042824074</v>
      </c>
      <c r="C54" s="1" t="n">
        <v>46188</v>
      </c>
      <c r="D54" t="inlineStr">
        <is>
          <t>STOCKHOLMS LÄN</t>
        </is>
      </c>
      <c r="E54" t="inlineStr">
        <is>
          <t>NYNÄSHAMN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22730-2025</t>
        </is>
      </c>
      <c r="B55" s="1" t="n">
        <v>45789.57819444445</v>
      </c>
      <c r="C55" s="1" t="n">
        <v>46188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22721-2025</t>
        </is>
      </c>
      <c r="B56" s="1" t="n">
        <v>45789.57309027778</v>
      </c>
      <c r="C56" s="1" t="n">
        <v>46188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46188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56210-2025</t>
        </is>
      </c>
      <c r="B58" s="1" t="n">
        <v>45974.47630787037</v>
      </c>
      <c r="C58" s="1" t="n">
        <v>46188</v>
      </c>
      <c r="D58" t="inlineStr">
        <is>
          <t>STOCKHOLMS LÄN</t>
        </is>
      </c>
      <c r="E58" t="inlineStr">
        <is>
          <t>NYNÄSHAMN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56385-2025</t>
        </is>
      </c>
      <c r="B59" s="1" t="n">
        <v>45974.71993055556</v>
      </c>
      <c r="C59" s="1" t="n">
        <v>46188</v>
      </c>
      <c r="D59" t="inlineStr">
        <is>
          <t>STOCKHOLMS LÄN</t>
        </is>
      </c>
      <c r="E59" t="inlineStr">
        <is>
          <t>NYNÄSHAMN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46857-2025</t>
        </is>
      </c>
      <c r="B60" s="1" t="n">
        <v>45928.89146990741</v>
      </c>
      <c r="C60" s="1" t="n">
        <v>46188</v>
      </c>
      <c r="D60" t="inlineStr">
        <is>
          <t>STOCKHOLMS LÄN</t>
        </is>
      </c>
      <c r="E60" t="inlineStr">
        <is>
          <t>NYNÄSHAMN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41281-2021</t>
        </is>
      </c>
      <c r="B61" s="1" t="n">
        <v>44424</v>
      </c>
      <c r="C61" s="1" t="n">
        <v>46188</v>
      </c>
      <c r="D61" t="inlineStr">
        <is>
          <t>STOCKHOLMS LÄN</t>
        </is>
      </c>
      <c r="E61" t="inlineStr">
        <is>
          <t>NYNÄSHAMN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26501-2024</t>
        </is>
      </c>
      <c r="B62" s="1" t="n">
        <v>45469</v>
      </c>
      <c r="C62" s="1" t="n">
        <v>46188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46188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32092-2023</t>
        </is>
      </c>
      <c r="B64" s="1" t="n">
        <v>45119</v>
      </c>
      <c r="C64" s="1" t="n">
        <v>46188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37098-2021</t>
        </is>
      </c>
      <c r="B65" s="1" t="n">
        <v>44396</v>
      </c>
      <c r="C65" s="1" t="n">
        <v>46188</v>
      </c>
      <c r="D65" t="inlineStr">
        <is>
          <t>STOCKHOLMS LÄN</t>
        </is>
      </c>
      <c r="E65" t="inlineStr">
        <is>
          <t>NYNÄSHAMN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46188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62013-2023</t>
        </is>
      </c>
      <c r="B67" s="1" t="n">
        <v>45266</v>
      </c>
      <c r="C67" s="1" t="n">
        <v>46188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62038-2023</t>
        </is>
      </c>
      <c r="B68" s="1" t="n">
        <v>45266</v>
      </c>
      <c r="C68" s="1" t="n">
        <v>46188</v>
      </c>
      <c r="D68" t="inlineStr">
        <is>
          <t>STOCKHOLMS LÄN</t>
        </is>
      </c>
      <c r="E68" t="inlineStr">
        <is>
          <t>NYNÄSHAMN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47128-2023</t>
        </is>
      </c>
      <c r="B69" s="1" t="n">
        <v>45196</v>
      </c>
      <c r="C69" s="1" t="n">
        <v>46188</v>
      </c>
      <c r="D69" t="inlineStr">
        <is>
          <t>STOCKHOLMS LÄN</t>
        </is>
      </c>
      <c r="E69" t="inlineStr">
        <is>
          <t>NYNÄSHAMN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5884-2026</t>
        </is>
      </c>
      <c r="B70" s="1" t="n">
        <v>46052.40635416667</v>
      </c>
      <c r="C70" s="1" t="n">
        <v>46188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32074-2023</t>
        </is>
      </c>
      <c r="B71" s="1" t="n">
        <v>45119</v>
      </c>
      <c r="C71" s="1" t="n">
        <v>46188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46188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9017-2023</t>
        </is>
      </c>
      <c r="B73" s="1" t="n">
        <v>44979</v>
      </c>
      <c r="C73" s="1" t="n">
        <v>46188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36052-2023</t>
        </is>
      </c>
      <c r="B74" s="1" t="n">
        <v>45149</v>
      </c>
      <c r="C74" s="1" t="n">
        <v>46188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46188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52953-2024</t>
        </is>
      </c>
      <c r="B76" s="1" t="n">
        <v>45610.92077546296</v>
      </c>
      <c r="C76" s="1" t="n">
        <v>46188</v>
      </c>
      <c r="D76" t="inlineStr">
        <is>
          <t>STOCKHOLMS LÄN</t>
        </is>
      </c>
      <c r="E76" t="inlineStr">
        <is>
          <t>NYNÄSHAMN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13945-2025</t>
        </is>
      </c>
      <c r="B77" s="1" t="n">
        <v>45737.71512731481</v>
      </c>
      <c r="C77" s="1" t="n">
        <v>46188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12031-2026</t>
        </is>
      </c>
      <c r="B78" s="1" t="n">
        <v>46085</v>
      </c>
      <c r="C78" s="1" t="n">
        <v>46188</v>
      </c>
      <c r="D78" t="inlineStr">
        <is>
          <t>STOCKHOLMS LÄN</t>
        </is>
      </c>
      <c r="E78" t="inlineStr">
        <is>
          <t>NYNÄSHAMN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12032-2026</t>
        </is>
      </c>
      <c r="B79" s="1" t="n">
        <v>46085</v>
      </c>
      <c r="C79" s="1" t="n">
        <v>46188</v>
      </c>
      <c r="D79" t="inlineStr">
        <is>
          <t>STOCKHOLMS LÄN</t>
        </is>
      </c>
      <c r="E79" t="inlineStr">
        <is>
          <t>NYNÄSHAMN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46188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17990-2024</t>
        </is>
      </c>
      <c r="B81" s="1" t="n">
        <v>45419</v>
      </c>
      <c r="C81" s="1" t="n">
        <v>46188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64411-2023</t>
        </is>
      </c>
      <c r="B82" s="1" t="n">
        <v>45280.63304398148</v>
      </c>
      <c r="C82" s="1" t="n">
        <v>46188</v>
      </c>
      <c r="D82" t="inlineStr">
        <is>
          <t>STOCKHOLMS LÄN</t>
        </is>
      </c>
      <c r="E82" t="inlineStr">
        <is>
          <t>NYNÄSHAMN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41677-2023</t>
        </is>
      </c>
      <c r="B83" s="1" t="n">
        <v>45173</v>
      </c>
      <c r="C83" s="1" t="n">
        <v>46188</v>
      </c>
      <c r="D83" t="inlineStr">
        <is>
          <t>STOCKHOLMS LÄN</t>
        </is>
      </c>
      <c r="E83" t="inlineStr">
        <is>
          <t>NYNÄSHAMN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41680-2023</t>
        </is>
      </c>
      <c r="B84" s="1" t="n">
        <v>45173</v>
      </c>
      <c r="C84" s="1" t="n">
        <v>46188</v>
      </c>
      <c r="D84" t="inlineStr">
        <is>
          <t>STOCKHOLMS LÄN</t>
        </is>
      </c>
      <c r="E84" t="inlineStr">
        <is>
          <t>NYNÄSHAMN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36496-2025</t>
        </is>
      </c>
      <c r="B85" s="1" t="n">
        <v>45869.55287037037</v>
      </c>
      <c r="C85" s="1" t="n">
        <v>46188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36468-2025</t>
        </is>
      </c>
      <c r="B86" s="1" t="n">
        <v>45869.47163194444</v>
      </c>
      <c r="C86" s="1" t="n">
        <v>46188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37097-2021</t>
        </is>
      </c>
      <c r="B87" s="1" t="n">
        <v>44395</v>
      </c>
      <c r="C87" s="1" t="n">
        <v>46188</v>
      </c>
      <c r="D87" t="inlineStr">
        <is>
          <t>STOCKHOLMS LÄN</t>
        </is>
      </c>
      <c r="E87" t="inlineStr">
        <is>
          <t>NYNÄSHAMN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52950-2024</t>
        </is>
      </c>
      <c r="B88" s="1" t="n">
        <v>45610.89103009259</v>
      </c>
      <c r="C88" s="1" t="n">
        <v>46188</v>
      </c>
      <c r="D88" t="inlineStr">
        <is>
          <t>STOCKHOLMS LÄN</t>
        </is>
      </c>
      <c r="E88" t="inlineStr">
        <is>
          <t>NYNÄSHAMN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34818-2021</t>
        </is>
      </c>
      <c r="B89" s="1" t="n">
        <v>44383.35518518519</v>
      </c>
      <c r="C89" s="1" t="n">
        <v>46188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46188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2170-2023</t>
        </is>
      </c>
      <c r="B91" s="1" t="n">
        <v>44941</v>
      </c>
      <c r="C91" s="1" t="n">
        <v>46188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21192-2023</t>
        </is>
      </c>
      <c r="B92" s="1" t="n">
        <v>45062</v>
      </c>
      <c r="C92" s="1" t="n">
        <v>46188</v>
      </c>
      <c r="D92" t="inlineStr">
        <is>
          <t>STOCKHOLMS LÄN</t>
        </is>
      </c>
      <c r="E92" t="inlineStr">
        <is>
          <t>NYNÄSHAMN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46188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25175-2023</t>
        </is>
      </c>
      <c r="B94" s="1" t="n">
        <v>45086</v>
      </c>
      <c r="C94" s="1" t="n">
        <v>46188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24595-2026</t>
        </is>
      </c>
      <c r="B95" s="1" t="n">
        <v>46170</v>
      </c>
      <c r="C95" s="1" t="n">
        <v>46188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63463-2023</t>
        </is>
      </c>
      <c r="B96" s="1" t="n">
        <v>45274</v>
      </c>
      <c r="C96" s="1" t="n">
        <v>46188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15460-2025</t>
        </is>
      </c>
      <c r="B97" s="1" t="n">
        <v>45747.51049768519</v>
      </c>
      <c r="C97" s="1" t="n">
        <v>46188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33667-2022</t>
        </is>
      </c>
      <c r="B98" s="1" t="n">
        <v>44789</v>
      </c>
      <c r="C98" s="1" t="n">
        <v>46188</v>
      </c>
      <c r="D98" t="inlineStr">
        <is>
          <t>STOCKHOLMS LÄN</t>
        </is>
      </c>
      <c r="E98" t="inlineStr">
        <is>
          <t>NYNÄSHAMN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62878-2023</t>
        </is>
      </c>
      <c r="B99" s="1" t="n">
        <v>45272</v>
      </c>
      <c r="C99" s="1" t="n">
        <v>46188</v>
      </c>
      <c r="D99" t="inlineStr">
        <is>
          <t>STOCKHOLMS LÄN</t>
        </is>
      </c>
      <c r="E99" t="inlineStr">
        <is>
          <t>NYNÄSHAMN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62634-2022</t>
        </is>
      </c>
      <c r="B100" s="1" t="n">
        <v>44917</v>
      </c>
      <c r="C100" s="1" t="n">
        <v>46188</v>
      </c>
      <c r="D100" t="inlineStr">
        <is>
          <t>STOCKHOLMS LÄN</t>
        </is>
      </c>
      <c r="E100" t="inlineStr">
        <is>
          <t>NYNÄSHAMN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46188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46188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46188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26505-2024</t>
        </is>
      </c>
      <c r="B104" s="1" t="n">
        <v>45469</v>
      </c>
      <c r="C104" s="1" t="n">
        <v>46188</v>
      </c>
      <c r="D104" t="inlineStr">
        <is>
          <t>STOCKHOLMS LÄN</t>
        </is>
      </c>
      <c r="E104" t="inlineStr">
        <is>
          <t>NYNÄSHAMN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18411-2025</t>
        </is>
      </c>
      <c r="B105" s="1" t="n">
        <v>45762.61413194444</v>
      </c>
      <c r="C105" s="1" t="n">
        <v>46188</v>
      </c>
      <c r="D105" t="inlineStr">
        <is>
          <t>STOCKHOLMS LÄN</t>
        </is>
      </c>
      <c r="E105" t="inlineStr">
        <is>
          <t>NYNÄSHAMN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60977-2022</t>
        </is>
      </c>
      <c r="B106" s="1" t="n">
        <v>44908</v>
      </c>
      <c r="C106" s="1" t="n">
        <v>46188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52859-2024</t>
        </is>
      </c>
      <c r="B107" s="1" t="n">
        <v>45610.61542824074</v>
      </c>
      <c r="C107" s="1" t="n">
        <v>46188</v>
      </c>
      <c r="D107" t="inlineStr">
        <is>
          <t>STOCKHOLMS LÄN</t>
        </is>
      </c>
      <c r="E107" t="inlineStr">
        <is>
          <t>NYNÄSHAMN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34385-2023</t>
        </is>
      </c>
      <c r="B108" s="1" t="n">
        <v>45139</v>
      </c>
      <c r="C108" s="1" t="n">
        <v>46188</v>
      </c>
      <c r="D108" t="inlineStr">
        <is>
          <t>STOCKHOLMS LÄN</t>
        </is>
      </c>
      <c r="E108" t="inlineStr">
        <is>
          <t>NYNÄSHAMN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34660-2023</t>
        </is>
      </c>
      <c r="B109" s="1" t="n">
        <v>45140</v>
      </c>
      <c r="C109" s="1" t="n">
        <v>46188</v>
      </c>
      <c r="D109" t="inlineStr">
        <is>
          <t>STOCKHOLMS LÄN</t>
        </is>
      </c>
      <c r="E109" t="inlineStr">
        <is>
          <t>NYNÄSHAMN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44624-2023</t>
        </is>
      </c>
      <c r="B110" s="1" t="n">
        <v>45184</v>
      </c>
      <c r="C110" s="1" t="n">
        <v>46188</v>
      </c>
      <c r="D110" t="inlineStr">
        <is>
          <t>STOCKHOLMS LÄN</t>
        </is>
      </c>
      <c r="E110" t="inlineStr">
        <is>
          <t>NYNÄSHAMN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30910-2023</t>
        </is>
      </c>
      <c r="B111" s="1" t="n">
        <v>45113</v>
      </c>
      <c r="C111" s="1" t="n">
        <v>46188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41767-2024</t>
        </is>
      </c>
      <c r="B112" s="1" t="n">
        <v>45561.34616898148</v>
      </c>
      <c r="C112" s="1" t="n">
        <v>46188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64494-2023</t>
        </is>
      </c>
      <c r="B113" s="1" t="n">
        <v>45280.93269675926</v>
      </c>
      <c r="C113" s="1" t="n">
        <v>46188</v>
      </c>
      <c r="D113" t="inlineStr">
        <is>
          <t>STOCKHOLMS LÄN</t>
        </is>
      </c>
      <c r="E113" t="inlineStr">
        <is>
          <t>NYNÄSHAMN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47089-2023</t>
        </is>
      </c>
      <c r="B114" s="1" t="n">
        <v>45196</v>
      </c>
      <c r="C114" s="1" t="n">
        <v>46188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47093-2023</t>
        </is>
      </c>
      <c r="B115" s="1" t="n">
        <v>45196</v>
      </c>
      <c r="C115" s="1" t="n">
        <v>46188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46188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46188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17991-2024</t>
        </is>
      </c>
      <c r="B118" s="1" t="n">
        <v>45419</v>
      </c>
      <c r="C118" s="1" t="n">
        <v>46188</v>
      </c>
      <c r="D118" t="inlineStr">
        <is>
          <t>STOCKHOLMS LÄN</t>
        </is>
      </c>
      <c r="E118" t="inlineStr">
        <is>
          <t>NYNÄSHAMN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46188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8932-2023</t>
        </is>
      </c>
      <c r="B120" s="1" t="n">
        <v>44979</v>
      </c>
      <c r="C120" s="1" t="n">
        <v>46188</v>
      </c>
      <c r="D120" t="inlineStr">
        <is>
          <t>STOCKHOLMS LÄN</t>
        </is>
      </c>
      <c r="E120" t="inlineStr">
        <is>
          <t>NYNÄSHAMN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10224-2023</t>
        </is>
      </c>
      <c r="B121" s="1" t="n">
        <v>44986.61554398148</v>
      </c>
      <c r="C121" s="1" t="n">
        <v>46188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17634-2022</t>
        </is>
      </c>
      <c r="B122" s="1" t="n">
        <v>44680</v>
      </c>
      <c r="C122" s="1" t="n">
        <v>46188</v>
      </c>
      <c r="D122" t="inlineStr">
        <is>
          <t>STOCKHOLMS LÄN</t>
        </is>
      </c>
      <c r="E122" t="inlineStr">
        <is>
          <t>NYNÄSHAMN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33787-2024</t>
        </is>
      </c>
      <c r="B123" s="1" t="n">
        <v>45520</v>
      </c>
      <c r="C123" s="1" t="n">
        <v>46188</v>
      </c>
      <c r="D123" t="inlineStr">
        <is>
          <t>STOCKHOLMS LÄN</t>
        </is>
      </c>
      <c r="E123" t="inlineStr">
        <is>
          <t>NYNÄSHAMN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44619-2023</t>
        </is>
      </c>
      <c r="B124" s="1" t="n">
        <v>45189</v>
      </c>
      <c r="C124" s="1" t="n">
        <v>46188</v>
      </c>
      <c r="D124" t="inlineStr">
        <is>
          <t>STOCKHOLMS LÄN</t>
        </is>
      </c>
      <c r="E124" t="inlineStr">
        <is>
          <t>NYNÄSHAMN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636-2025</t>
        </is>
      </c>
      <c r="B125" s="1" t="n">
        <v>45664.63822916667</v>
      </c>
      <c r="C125" s="1" t="n">
        <v>46188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52910-2024</t>
        </is>
      </c>
      <c r="B126" s="1" t="n">
        <v>45610.69866898148</v>
      </c>
      <c r="C126" s="1" t="n">
        <v>46188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38771-2021</t>
        </is>
      </c>
      <c r="B127" s="1" t="n">
        <v>44410</v>
      </c>
      <c r="C127" s="1" t="n">
        <v>46188</v>
      </c>
      <c r="D127" t="inlineStr">
        <is>
          <t>STOCKHOLMS LÄN</t>
        </is>
      </c>
      <c r="E127" t="inlineStr">
        <is>
          <t>NYNÄSHAMN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35356-2023</t>
        </is>
      </c>
      <c r="B128" s="1" t="n">
        <v>45146.51179398148</v>
      </c>
      <c r="C128" s="1" t="n">
        <v>46188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2026-06-15T09:25:06Z</dcterms:created>
  <dcterms:modified xmlns:dcterms="http://purl.org/dc/terms/" xmlns:xsi="http://www.w3.org/2001/XMLSchema-instance" xsi:type="dcterms:W3CDTF">2026-06-15T09:25:06Z</dcterms:modified>
</cp:coreProperties>
</file>