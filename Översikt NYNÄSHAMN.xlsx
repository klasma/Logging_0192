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46197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46197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5233-2026</t>
        </is>
      </c>
      <c r="B9" s="1" t="n">
        <v>46049</v>
      </c>
      <c r="C9" s="1" t="n">
        <v>46197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Blåsippa
Spillkråka
Kråka
Skogsduva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46197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46197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46197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31828-2023</t>
        </is>
      </c>
      <c r="B13" s="1" t="n">
        <v>45118</v>
      </c>
      <c r="C13" s="1" t="n">
        <v>46197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Rostfläck
Stubbspretmossa</t>
        </is>
      </c>
      <c r="S13">
        <f>HYPERLINK("https://klasma.github.io/Logging_0192/artfynd/A 31828-2023 artfynd.xlsx", "A 31828-2023")</f>
        <v/>
      </c>
      <c r="T13">
        <f>HYPERLINK("https://klasma.github.io/Logging_0192/kartor/A 31828-2023 karta.png", "A 31828-2023")</f>
        <v/>
      </c>
      <c r="V13">
        <f>HYPERLINK("https://klasma.github.io/Logging_0192/klagomål/A 31828-2023 FSC-klagomål.docx", "A 31828-2023")</f>
        <v/>
      </c>
      <c r="W13">
        <f>HYPERLINK("https://klasma.github.io/Logging_0192/klagomålsmail/A 31828-2023 FSC-klagomål mail.docx", "A 31828-2023")</f>
        <v/>
      </c>
      <c r="X13">
        <f>HYPERLINK("https://klasma.github.io/Logging_0192/tillsyn/A 31828-2023 tillsynsbegäran.docx", "A 31828-2023")</f>
        <v/>
      </c>
      <c r="Y13">
        <f>HYPERLINK("https://klasma.github.io/Logging_0192/tillsynsmail/A 31828-2023 tillsynsbegäran mail.docx", "A 31828-2023")</f>
        <v/>
      </c>
    </row>
    <row r="14" ht="15" customHeight="1">
      <c r="A14" t="inlineStr">
        <is>
          <t>A 62013-2023</t>
        </is>
      </c>
      <c r="B14" s="1" t="n">
        <v>45266</v>
      </c>
      <c r="C14" s="1" t="n">
        <v>46197</v>
      </c>
      <c r="D14" t="inlineStr">
        <is>
          <t>STOCKHOLMS LÄN</t>
        </is>
      </c>
      <c r="E14" t="inlineStr">
        <is>
          <t>NYNÄSHAMN</t>
        </is>
      </c>
      <c r="G14" t="n">
        <v>1.6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Skogsknipprot
Törnskata
Gullviva</t>
        </is>
      </c>
      <c r="S14">
        <f>HYPERLINK("https://klasma.github.io/Logging_0192/artfynd/A 62013-2023 artfynd.xlsx", "A 62013-2023")</f>
        <v/>
      </c>
      <c r="T14">
        <f>HYPERLINK("https://klasma.github.io/Logging_0192/kartor/A 62013-2023 karta.png", "A 62013-2023")</f>
        <v/>
      </c>
      <c r="V14">
        <f>HYPERLINK("https://klasma.github.io/Logging_0192/klagomål/A 62013-2023 FSC-klagomål.docx", "A 62013-2023")</f>
        <v/>
      </c>
      <c r="W14">
        <f>HYPERLINK("https://klasma.github.io/Logging_0192/klagomålsmail/A 62013-2023 FSC-klagomål mail.docx", "A 62013-2023")</f>
        <v/>
      </c>
      <c r="X14">
        <f>HYPERLINK("https://klasma.github.io/Logging_0192/tillsyn/A 62013-2023 tillsynsbegäran.docx", "A 62013-2023")</f>
        <v/>
      </c>
      <c r="Y14">
        <f>HYPERLINK("https://klasma.github.io/Logging_0192/tillsynsmail/A 62013-2023 tillsynsbegäran mail.docx", "A 62013-2023")</f>
        <v/>
      </c>
      <c r="Z14">
        <f>HYPERLINK("https://klasma.github.io/Logging_0192/fåglar/A 62013-2023 prioriterade fågelarter.docx", "A 62013-2023")</f>
        <v/>
      </c>
    </row>
    <row r="15" ht="15" customHeight="1">
      <c r="A15" t="inlineStr">
        <is>
          <t>A 16309-2022</t>
        </is>
      </c>
      <c r="B15" s="1" t="n">
        <v>44670</v>
      </c>
      <c r="C15" s="1" t="n">
        <v>46197</v>
      </c>
      <c r="D15" t="inlineStr">
        <is>
          <t>STOCKHOLMS LÄN</t>
        </is>
      </c>
      <c r="E15" t="inlineStr">
        <is>
          <t>NYNÄSHAMN</t>
        </is>
      </c>
      <c r="G15" t="n">
        <v>7.7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Jungfrulin
Blåsippa
Gullviva</t>
        </is>
      </c>
      <c r="S15">
        <f>HYPERLINK("https://klasma.github.io/Logging_0192/artfynd/A 16309-2022 artfynd.xlsx", "A 16309-2022")</f>
        <v/>
      </c>
      <c r="T15">
        <f>HYPERLINK("https://klasma.github.io/Logging_0192/kartor/A 16309-2022 karta.png", "A 16309-2022")</f>
        <v/>
      </c>
      <c r="V15">
        <f>HYPERLINK("https://klasma.github.io/Logging_0192/klagomål/A 16309-2022 FSC-klagomål.docx", "A 16309-2022")</f>
        <v/>
      </c>
      <c r="W15">
        <f>HYPERLINK("https://klasma.github.io/Logging_0192/klagomålsmail/A 16309-2022 FSC-klagomål mail.docx", "A 16309-2022")</f>
        <v/>
      </c>
      <c r="X15">
        <f>HYPERLINK("https://klasma.github.io/Logging_0192/tillsyn/A 16309-2022 tillsynsbegäran.docx", "A 16309-2022")</f>
        <v/>
      </c>
      <c r="Y15">
        <f>HYPERLINK("https://klasma.github.io/Logging_0192/tillsynsmail/A 16309-2022 tillsynsbegäran mail.docx", "A 16309-2022")</f>
        <v/>
      </c>
    </row>
    <row r="16" ht="15" customHeight="1">
      <c r="A16" t="inlineStr">
        <is>
          <t>A 22716-2025</t>
        </is>
      </c>
      <c r="B16" s="1" t="n">
        <v>45789</v>
      </c>
      <c r="C16" s="1" t="n">
        <v>46197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Stekelbock
Revlummer</t>
        </is>
      </c>
      <c r="S16">
        <f>HYPERLINK("https://klasma.github.io/Logging_0192/artfynd/A 22716-2025 artfynd.xlsx", "A 22716-2025")</f>
        <v/>
      </c>
      <c r="T16">
        <f>HYPERLINK("https://klasma.github.io/Logging_0192/kartor/A 22716-2025 karta.png", "A 22716-2025")</f>
        <v/>
      </c>
      <c r="V16">
        <f>HYPERLINK("https://klasma.github.io/Logging_0192/klagomål/A 22716-2025 FSC-klagomål.docx", "A 22716-2025")</f>
        <v/>
      </c>
      <c r="W16">
        <f>HYPERLINK("https://klasma.github.io/Logging_0192/klagomålsmail/A 22716-2025 FSC-klagomål mail.docx", "A 22716-2025")</f>
        <v/>
      </c>
      <c r="X16">
        <f>HYPERLINK("https://klasma.github.io/Logging_0192/tillsyn/A 22716-2025 tillsynsbegäran.docx", "A 22716-2025")</f>
        <v/>
      </c>
      <c r="Y16">
        <f>HYPERLINK("https://klasma.github.io/Logging_0192/tillsynsmail/A 22716-2025 tillsynsbegäran mail.docx", "A 22716-2025")</f>
        <v/>
      </c>
    </row>
    <row r="17" ht="15" customHeight="1">
      <c r="A17" t="inlineStr">
        <is>
          <t>A 37422-2021</t>
        </is>
      </c>
      <c r="B17" s="1" t="n">
        <v>44398</v>
      </c>
      <c r="C17" s="1" t="n">
        <v>46197</v>
      </c>
      <c r="D17" t="inlineStr">
        <is>
          <t>STOCKHOLMS LÄN</t>
        </is>
      </c>
      <c r="E17" t="inlineStr">
        <is>
          <t>NYNÄSHAMN</t>
        </is>
      </c>
      <c r="G17" t="n">
        <v>25.8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Spillkråka</t>
        </is>
      </c>
      <c r="S17">
        <f>HYPERLINK("https://klasma.github.io/Logging_0192/artfynd/A 37422-2021 artfynd.xlsx", "A 37422-2021")</f>
        <v/>
      </c>
      <c r="T17">
        <f>HYPERLINK("https://klasma.github.io/Logging_0192/kartor/A 37422-2021 karta.png", "A 37422-2021")</f>
        <v/>
      </c>
      <c r="V17">
        <f>HYPERLINK("https://klasma.github.io/Logging_0192/klagomål/A 37422-2021 FSC-klagomål.docx", "A 37422-2021")</f>
        <v/>
      </c>
      <c r="W17">
        <f>HYPERLINK("https://klasma.github.io/Logging_0192/klagomålsmail/A 37422-2021 FSC-klagomål mail.docx", "A 37422-2021")</f>
        <v/>
      </c>
      <c r="X17">
        <f>HYPERLINK("https://klasma.github.io/Logging_0192/tillsyn/A 37422-2021 tillsynsbegäran.docx", "A 37422-2021")</f>
        <v/>
      </c>
      <c r="Y17">
        <f>HYPERLINK("https://klasma.github.io/Logging_0192/tillsynsmail/A 37422-2021 tillsynsbegäran mail.docx", "A 37422-2021")</f>
        <v/>
      </c>
      <c r="Z17">
        <f>HYPERLINK("https://klasma.github.io/Logging_0192/fåglar/A 37422-2021 prioriterade fågelarter.docx", "A 37422-2021")</f>
        <v/>
      </c>
    </row>
    <row r="18" ht="15" customHeight="1">
      <c r="A18" t="inlineStr">
        <is>
          <t>A 37100-2021</t>
        </is>
      </c>
      <c r="B18" s="1" t="n">
        <v>44396</v>
      </c>
      <c r="C18" s="1" t="n">
        <v>46197</v>
      </c>
      <c r="D18" t="inlineStr">
        <is>
          <t>STOCKHOLMS LÄN</t>
        </is>
      </c>
      <c r="E18" t="inlineStr">
        <is>
          <t>NYNÄSHAMN</t>
        </is>
      </c>
      <c r="G18" t="n">
        <v>1.4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Zontaggsvamp</t>
        </is>
      </c>
      <c r="S18">
        <f>HYPERLINK("https://klasma.github.io/Logging_0192/artfynd/A 37100-2021 artfynd.xlsx", "A 37100-2021")</f>
        <v/>
      </c>
      <c r="T18">
        <f>HYPERLINK("https://klasma.github.io/Logging_0192/kartor/A 37100-2021 karta.png", "A 37100-2021")</f>
        <v/>
      </c>
      <c r="V18">
        <f>HYPERLINK("https://klasma.github.io/Logging_0192/klagomål/A 37100-2021 FSC-klagomål.docx", "A 37100-2021")</f>
        <v/>
      </c>
      <c r="W18">
        <f>HYPERLINK("https://klasma.github.io/Logging_0192/klagomålsmail/A 37100-2021 FSC-klagomål mail.docx", "A 37100-2021")</f>
        <v/>
      </c>
      <c r="X18">
        <f>HYPERLINK("https://klasma.github.io/Logging_0192/tillsyn/A 37100-2021 tillsynsbegäran.docx", "A 37100-2021")</f>
        <v/>
      </c>
      <c r="Y18">
        <f>HYPERLINK("https://klasma.github.io/Logging_0192/tillsynsmail/A 37100-2021 tillsynsbegäran mail.docx", "A 37100-2021")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46197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s="1" t="n">
        <v>44979</v>
      </c>
      <c r="C20" s="1" t="n">
        <v>46197</v>
      </c>
      <c r="D20" t="inlineStr">
        <is>
          <t>STOCKHOLMS LÄN</t>
        </is>
      </c>
      <c r="E20" t="inlineStr">
        <is>
          <t>NYNÄSHAMN</t>
        </is>
      </c>
      <c r="G20" t="n">
        <v>2.7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Gullpudra
Strutbräken</t>
        </is>
      </c>
      <c r="S20">
        <f>HYPERLINK("https://klasma.github.io/Logging_0192/artfynd/A 8939-2023 artfynd.xlsx", "A 8939-2023")</f>
        <v/>
      </c>
      <c r="T20">
        <f>HYPERLINK("https://klasma.github.io/Logging_0192/kartor/A 8939-2023 karta.png", "A 8939-2023")</f>
        <v/>
      </c>
      <c r="V20">
        <f>HYPERLINK("https://klasma.github.io/Logging_0192/klagomål/A 8939-2023 FSC-klagomål.docx", "A 8939-2023")</f>
        <v/>
      </c>
      <c r="W20">
        <f>HYPERLINK("https://klasma.github.io/Logging_0192/klagomålsmail/A 8939-2023 FSC-klagomål mail.docx", "A 8939-2023")</f>
        <v/>
      </c>
      <c r="X20">
        <f>HYPERLINK("https://klasma.github.io/Logging_0192/tillsyn/A 8939-2023 tillsynsbegäran.docx", "A 8939-2023")</f>
        <v/>
      </c>
      <c r="Y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s="1" t="n">
        <v>45196</v>
      </c>
      <c r="C21" s="1" t="n">
        <v>46197</v>
      </c>
      <c r="D21" t="inlineStr">
        <is>
          <t>STOCKHOLMS LÄN</t>
        </is>
      </c>
      <c r="E21" t="inlineStr">
        <is>
          <t>NYNÄSHAMN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Myskmadra</t>
        </is>
      </c>
      <c r="S21">
        <f>HYPERLINK("https://klasma.github.io/Logging_0192/artfynd/A 47093-2023 artfynd.xlsx", "A 47093-2023")</f>
        <v/>
      </c>
      <c r="T21">
        <f>HYPERLINK("https://klasma.github.io/Logging_0192/kartor/A 47093-2023 karta.png", "A 47093-2023")</f>
        <v/>
      </c>
      <c r="V21">
        <f>HYPERLINK("https://klasma.github.io/Logging_0192/klagomål/A 47093-2023 FSC-klagomål.docx", "A 47093-2023")</f>
        <v/>
      </c>
      <c r="W21">
        <f>HYPERLINK("https://klasma.github.io/Logging_0192/klagomålsmail/A 47093-2023 FSC-klagomål mail.docx", "A 47093-2023")</f>
        <v/>
      </c>
      <c r="X21">
        <f>HYPERLINK("https://klasma.github.io/Logging_0192/tillsyn/A 47093-2023 tillsynsbegäran.docx", "A 47093-2023")</f>
        <v/>
      </c>
      <c r="Y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46197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12033-2026</t>
        </is>
      </c>
      <c r="B23" s="1" t="n">
        <v>46085</v>
      </c>
      <c r="C23" s="1" t="n">
        <v>46197</v>
      </c>
      <c r="D23" t="inlineStr">
        <is>
          <t>STOCKHOLMS LÄN</t>
        </is>
      </c>
      <c r="E23" t="inlineStr">
        <is>
          <t>NYNÄSHAMN</t>
        </is>
      </c>
      <c r="G23" t="n">
        <v>2.4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Fjällvråk
Havsörn</t>
        </is>
      </c>
      <c r="S23">
        <f>HYPERLINK("https://klasma.github.io/Logging_0192/artfynd/A 12033-2026 artfynd.xlsx", "A 12033-2026")</f>
        <v/>
      </c>
      <c r="T23">
        <f>HYPERLINK("https://klasma.github.io/Logging_0192/kartor/A 12033-2026 karta.png", "A 12033-2026")</f>
        <v/>
      </c>
      <c r="V23">
        <f>HYPERLINK("https://klasma.github.io/Logging_0192/klagomål/A 12033-2026 FSC-klagomål.docx", "A 12033-2026")</f>
        <v/>
      </c>
      <c r="W23">
        <f>HYPERLINK("https://klasma.github.io/Logging_0192/klagomålsmail/A 12033-2026 FSC-klagomål mail.docx", "A 12033-2026")</f>
        <v/>
      </c>
      <c r="X23">
        <f>HYPERLINK("https://klasma.github.io/Logging_0192/tillsyn/A 12033-2026 tillsynsbegäran.docx", "A 12033-2026")</f>
        <v/>
      </c>
      <c r="Y23">
        <f>HYPERLINK("https://klasma.github.io/Logging_0192/tillsynsmail/A 12033-2026 tillsynsbegäran mail.docx", "A 12033-2026")</f>
        <v/>
      </c>
      <c r="Z23">
        <f>HYPERLINK("https://klasma.github.io/Logging_0192/fåglar/A 12033-2026 prioriterade fågelarter.docx", "A 12033-2026")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46197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46197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Gullpudra
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49523-2023</t>
        </is>
      </c>
      <c r="B26" s="1" t="n">
        <v>45211</v>
      </c>
      <c r="C26" s="1" t="n">
        <v>46197</v>
      </c>
      <c r="D26" t="inlineStr">
        <is>
          <t>STOCKHOLMS LÄN</t>
        </is>
      </c>
      <c r="E26" t="inlineStr">
        <is>
          <t>NYNÄSHAMN</t>
        </is>
      </c>
      <c r="G26" t="n">
        <v>2.2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Västlig hakmossa</t>
        </is>
      </c>
      <c r="S26">
        <f>HYPERLINK("https://klasma.github.io/Logging_0192/artfynd/A 49523-2023 artfynd.xlsx", "A 49523-2023")</f>
        <v/>
      </c>
      <c r="T26">
        <f>HYPERLINK("https://klasma.github.io/Logging_0192/kartor/A 49523-2023 karta.png", "A 49523-2023")</f>
        <v/>
      </c>
      <c r="V26">
        <f>HYPERLINK("https://klasma.github.io/Logging_0192/klagomål/A 49523-2023 FSC-klagomål.docx", "A 49523-2023")</f>
        <v/>
      </c>
      <c r="W26">
        <f>HYPERLINK("https://klasma.github.io/Logging_0192/klagomålsmail/A 49523-2023 FSC-klagomål mail.docx", "A 49523-2023")</f>
        <v/>
      </c>
      <c r="X26">
        <f>HYPERLINK("https://klasma.github.io/Logging_0192/tillsyn/A 49523-2023 tillsynsbegäran.docx", "A 49523-2023")</f>
        <v/>
      </c>
      <c r="Y26">
        <f>HYPERLINK("https://klasma.github.io/Logging_0192/tillsynsmail/A 49523-2023 tillsynsbegäran mail.docx", "A 49523-2023")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46197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Bolmört
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38771-2021</t>
        </is>
      </c>
      <c r="B28" s="1" t="n">
        <v>44410</v>
      </c>
      <c r="C28" s="1" t="n">
        <v>46197</v>
      </c>
      <c r="D28" t="inlineStr">
        <is>
          <t>STOCKHOLMS LÄN</t>
        </is>
      </c>
      <c r="E28" t="inlineStr">
        <is>
          <t>NYNÄSHAMN</t>
        </is>
      </c>
      <c r="G28" t="n">
        <v>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HYPERLINK("https://klasma.github.io/Logging_0192/artfynd/A 38771-2021 artfynd.xlsx", "A 38771-2021")</f>
        <v/>
      </c>
      <c r="T28">
        <f>HYPERLINK("https://klasma.github.io/Logging_0192/kartor/A 38771-2021 karta.png", "A 38771-2021")</f>
        <v/>
      </c>
      <c r="V28">
        <f>HYPERLINK("https://klasma.github.io/Logging_0192/klagomål/A 38771-2021 FSC-klagomål.docx", "A 38771-2021")</f>
        <v/>
      </c>
      <c r="W28">
        <f>HYPERLINK("https://klasma.github.io/Logging_0192/klagomålsmail/A 38771-2021 FSC-klagomål mail.docx", "A 38771-2021")</f>
        <v/>
      </c>
      <c r="X28">
        <f>HYPERLINK("https://klasma.github.io/Logging_0192/tillsyn/A 38771-2021 tillsynsbegäran.docx", "A 38771-2021")</f>
        <v/>
      </c>
      <c r="Y28">
        <f>HYPERLINK("https://klasma.github.io/Logging_0192/tillsynsmail/A 38771-2021 tillsynsbegäran mail.docx", "A 38771-2021")</f>
        <v/>
      </c>
    </row>
    <row r="29" ht="15" customHeight="1">
      <c r="A29" t="inlineStr">
        <is>
          <t>A 62634-2022</t>
        </is>
      </c>
      <c r="B29" s="1" t="n">
        <v>44917</v>
      </c>
      <c r="C29" s="1" t="n">
        <v>46197</v>
      </c>
      <c r="D29" t="inlineStr">
        <is>
          <t>STOCKHOLMS LÄN</t>
        </is>
      </c>
      <c r="E29" t="inlineStr">
        <is>
          <t>NYNÄSHAMN</t>
        </is>
      </c>
      <c r="G29" t="n">
        <v>15.8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HYPERLINK("https://klasma.github.io/Logging_0192/artfynd/A 62634-2022 artfynd.xlsx", "A 62634-2022")</f>
        <v/>
      </c>
      <c r="T29">
        <f>HYPERLINK("https://klasma.github.io/Logging_0192/kartor/A 62634-2022 karta.png", "A 62634-2022")</f>
        <v/>
      </c>
      <c r="V29">
        <f>HYPERLINK("https://klasma.github.io/Logging_0192/klagomål/A 62634-2022 FSC-klagomål.docx", "A 62634-2022")</f>
        <v/>
      </c>
      <c r="W29">
        <f>HYPERLINK("https://klasma.github.io/Logging_0192/klagomålsmail/A 62634-2022 FSC-klagomål mail.docx", "A 62634-2022")</f>
        <v/>
      </c>
      <c r="X29">
        <f>HYPERLINK("https://klasma.github.io/Logging_0192/tillsyn/A 62634-2022 tillsynsbegäran.docx", "A 62634-2022")</f>
        <v/>
      </c>
      <c r="Y29">
        <f>HYPERLINK("https://klasma.github.io/Logging_0192/tillsynsmail/A 62634-2022 tillsynsbegäran mail.docx", "A 62634-2022")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46197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46197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23906-2026</t>
        </is>
      </c>
      <c r="B32" s="1" t="n">
        <v>46167</v>
      </c>
      <c r="C32" s="1" t="n">
        <v>46197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7.9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23906-2026 artfynd.xlsx", "A 23906-2026")</f>
        <v/>
      </c>
      <c r="T32">
        <f>HYPERLINK("https://klasma.github.io/Logging_0192/kartor/A 23906-2026 karta.png", "A 23906-2026")</f>
        <v/>
      </c>
      <c r="V32">
        <f>HYPERLINK("https://klasma.github.io/Logging_0192/klagomål/A 23906-2026 FSC-klagomål.docx", "A 23906-2026")</f>
        <v/>
      </c>
      <c r="W32">
        <f>HYPERLINK("https://klasma.github.io/Logging_0192/klagomålsmail/A 23906-2026 FSC-klagomål mail.docx", "A 23906-2026")</f>
        <v/>
      </c>
      <c r="X32">
        <f>HYPERLINK("https://klasma.github.io/Logging_0192/tillsyn/A 23906-2026 tillsynsbegäran.docx", "A 23906-2026")</f>
        <v/>
      </c>
      <c r="Y32">
        <f>HYPERLINK("https://klasma.github.io/Logging_0192/tillsynsmail/A 23906-2026 tillsynsbegäran mail.docx", "A 23906-2026")</f>
        <v/>
      </c>
    </row>
    <row r="33" ht="15" customHeight="1">
      <c r="A33" t="inlineStr">
        <is>
          <t>A 32092-2023</t>
        </is>
      </c>
      <c r="B33" s="1" t="n">
        <v>45119</v>
      </c>
      <c r="C33" s="1" t="n">
        <v>46197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12.4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Skärmstarr</t>
        </is>
      </c>
      <c r="S33">
        <f>HYPERLINK("https://klasma.github.io/Logging_0192/artfynd/A 32092-2023 artfynd.xlsx", "A 32092-2023")</f>
        <v/>
      </c>
      <c r="T33">
        <f>HYPERLINK("https://klasma.github.io/Logging_0192/kartor/A 32092-2023 karta.png", "A 32092-2023")</f>
        <v/>
      </c>
      <c r="V33">
        <f>HYPERLINK("https://klasma.github.io/Logging_0192/klagomål/A 32092-2023 FSC-klagomål.docx", "A 32092-2023")</f>
        <v/>
      </c>
      <c r="W33">
        <f>HYPERLINK("https://klasma.github.io/Logging_0192/klagomålsmail/A 32092-2023 FSC-klagomål mail.docx", "A 32092-2023")</f>
        <v/>
      </c>
      <c r="X33">
        <f>HYPERLINK("https://klasma.github.io/Logging_0192/tillsyn/A 32092-2023 tillsynsbegäran.docx", "A 32092-2023")</f>
        <v/>
      </c>
      <c r="Y33">
        <f>HYPERLINK("https://klasma.github.io/Logging_0192/tillsynsmail/A 32092-2023 tillsynsbegäran mail.docx", "A 32092-2023")</f>
        <v/>
      </c>
    </row>
    <row r="34" ht="15" customHeight="1">
      <c r="A34" t="inlineStr">
        <is>
          <t>A 40895-2024</t>
        </is>
      </c>
      <c r="B34" s="1" t="n">
        <v>45558</v>
      </c>
      <c r="C34" s="1" t="n">
        <v>46197</v>
      </c>
      <c r="D34" t="inlineStr">
        <is>
          <t>STOCKHOLMS LÄN</t>
        </is>
      </c>
      <c r="E34" t="inlineStr">
        <is>
          <t>NYNÄSHAMN</t>
        </is>
      </c>
      <c r="G34" t="n">
        <v>3.7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Stubbspretmossa</t>
        </is>
      </c>
      <c r="S34">
        <f>HYPERLINK("https://klasma.github.io/Logging_0192/artfynd/A 40895-2024 artfynd.xlsx", "A 40895-2024")</f>
        <v/>
      </c>
      <c r="T34">
        <f>HYPERLINK("https://klasma.github.io/Logging_0192/kartor/A 40895-2024 karta.png", "A 40895-2024")</f>
        <v/>
      </c>
      <c r="V34">
        <f>HYPERLINK("https://klasma.github.io/Logging_0192/klagomål/A 40895-2024 FSC-klagomål.docx", "A 40895-2024")</f>
        <v/>
      </c>
      <c r="W34">
        <f>HYPERLINK("https://klasma.github.io/Logging_0192/klagomålsmail/A 40895-2024 FSC-klagomål mail.docx", "A 40895-2024")</f>
        <v/>
      </c>
      <c r="X34">
        <f>HYPERLINK("https://klasma.github.io/Logging_0192/tillsyn/A 40895-2024 tillsynsbegäran.docx", "A 40895-2024")</f>
        <v/>
      </c>
      <c r="Y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s="1" t="n">
        <v>45119</v>
      </c>
      <c r="C35" s="1" t="n">
        <v>46197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5.4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Fiskgjuse</t>
        </is>
      </c>
      <c r="S35">
        <f>HYPERLINK("https://klasma.github.io/Logging_0192/artfynd/A 32011-2023 artfynd.xlsx", "A 32011-2023")</f>
        <v/>
      </c>
      <c r="T35">
        <f>HYPERLINK("https://klasma.github.io/Logging_0192/kartor/A 32011-2023 karta.png", "A 32011-2023")</f>
        <v/>
      </c>
      <c r="V35">
        <f>HYPERLINK("https://klasma.github.io/Logging_0192/klagomål/A 32011-2023 FSC-klagomål.docx", "A 32011-2023")</f>
        <v/>
      </c>
      <c r="W35">
        <f>HYPERLINK("https://klasma.github.io/Logging_0192/klagomålsmail/A 32011-2023 FSC-klagomål mail.docx", "A 32011-2023")</f>
        <v/>
      </c>
      <c r="X35">
        <f>HYPERLINK("https://klasma.github.io/Logging_0192/tillsyn/A 32011-2023 tillsynsbegäran.docx", "A 32011-2023")</f>
        <v/>
      </c>
      <c r="Y35">
        <f>HYPERLINK("https://klasma.github.io/Logging_0192/tillsynsmail/A 32011-2023 tillsynsbegäran mail.docx", "A 32011-2023")</f>
        <v/>
      </c>
      <c r="Z35">
        <f>HYPERLINK("https://klasma.github.io/Logging_0192/fåglar/A 32011-2023 prioriterade fågelarter.docx", "A 32011-2023")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46197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9017-2023</t>
        </is>
      </c>
      <c r="B37" s="1" t="n">
        <v>44979</v>
      </c>
      <c r="C37" s="1" t="n">
        <v>46197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Tofsvipa</t>
        </is>
      </c>
      <c r="S37">
        <f>HYPERLINK("https://klasma.github.io/Logging_0192/artfynd/A 9017-2023 artfynd.xlsx", "A 9017-2023")</f>
        <v/>
      </c>
      <c r="T37">
        <f>HYPERLINK("https://klasma.github.io/Logging_0192/kartor/A 9017-2023 karta.png", "A 9017-2023")</f>
        <v/>
      </c>
      <c r="V37">
        <f>HYPERLINK("https://klasma.github.io/Logging_0192/klagomål/A 9017-2023 FSC-klagomål.docx", "A 9017-2023")</f>
        <v/>
      </c>
      <c r="W37">
        <f>HYPERLINK("https://klasma.github.io/Logging_0192/klagomålsmail/A 9017-2023 FSC-klagomål mail.docx", "A 9017-2023")</f>
        <v/>
      </c>
      <c r="X37">
        <f>HYPERLINK("https://klasma.github.io/Logging_0192/tillsyn/A 9017-2023 tillsynsbegäran.docx", "A 9017-2023")</f>
        <v/>
      </c>
      <c r="Y37">
        <f>HYPERLINK("https://klasma.github.io/Logging_0192/tillsynsmail/A 9017-2023 tillsynsbegäran mail.docx", "A 9017-2023")</f>
        <v/>
      </c>
    </row>
    <row r="38" ht="15" customHeight="1">
      <c r="A38" t="inlineStr">
        <is>
          <t>A 32074-2023</t>
        </is>
      </c>
      <c r="B38" s="1" t="n">
        <v>45119</v>
      </c>
      <c r="C38" s="1" t="n">
        <v>46197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Grå kantarell</t>
        </is>
      </c>
      <c r="S38">
        <f>HYPERLINK("https://klasma.github.io/Logging_0192/artfynd/A 32074-2023 artfynd.xlsx", "A 32074-2023")</f>
        <v/>
      </c>
      <c r="T38">
        <f>HYPERLINK("https://klasma.github.io/Logging_0192/kartor/A 32074-2023 karta.png", "A 32074-2023")</f>
        <v/>
      </c>
      <c r="V38">
        <f>HYPERLINK("https://klasma.github.io/Logging_0192/klagomål/A 32074-2023 FSC-klagomål.docx", "A 32074-2023")</f>
        <v/>
      </c>
      <c r="W38">
        <f>HYPERLINK("https://klasma.github.io/Logging_0192/klagomålsmail/A 32074-2023 FSC-klagomål mail.docx", "A 32074-2023")</f>
        <v/>
      </c>
      <c r="X38">
        <f>HYPERLINK("https://klasma.github.io/Logging_0192/tillsyn/A 32074-2023 tillsynsbegäran.docx", "A 32074-2023")</f>
        <v/>
      </c>
      <c r="Y38">
        <f>HYPERLINK("https://klasma.github.io/Logging_0192/tillsynsmail/A 32074-2023 tillsynsbegäran mail.docx", "A 32074-2023")</f>
        <v/>
      </c>
    </row>
    <row r="39" ht="15" customHeight="1">
      <c r="A39" t="inlineStr">
        <is>
          <t>A 38752-2021</t>
        </is>
      </c>
      <c r="B39" s="1" t="n">
        <v>44410</v>
      </c>
      <c r="C39" s="1" t="n">
        <v>46197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40753-2021</t>
        </is>
      </c>
      <c r="B40" s="1" t="n">
        <v>44420</v>
      </c>
      <c r="C40" s="1" t="n">
        <v>46197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9964-2022</t>
        </is>
      </c>
      <c r="B41" s="1" t="n">
        <v>44621</v>
      </c>
      <c r="C41" s="1" t="n">
        <v>46197</v>
      </c>
      <c r="D41" t="inlineStr">
        <is>
          <t>STOCKHOLMS LÄN</t>
        </is>
      </c>
      <c r="E41" t="inlineStr">
        <is>
          <t>NYNÄSHAMN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46197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46197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46197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</v>
      </c>
      <c r="C45" s="1" t="n">
        <v>46197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</v>
      </c>
      <c r="C46" s="1" t="n">
        <v>46197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</v>
      </c>
      <c r="C47" s="1" t="n">
        <v>46197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</v>
      </c>
      <c r="C48" s="1" t="n">
        <v>46197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46197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37491-2022</t>
        </is>
      </c>
      <c r="B50" s="1" t="n">
        <v>44809</v>
      </c>
      <c r="C50" s="1" t="n">
        <v>46197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17991-2024</t>
        </is>
      </c>
      <c r="B51" s="1" t="n">
        <v>45419</v>
      </c>
      <c r="C51" s="1" t="n">
        <v>46197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37097-2021</t>
        </is>
      </c>
      <c r="B52" s="1" t="n">
        <v>44395</v>
      </c>
      <c r="C52" s="1" t="n">
        <v>46197</v>
      </c>
      <c r="D52" t="inlineStr">
        <is>
          <t>STOCKHOLMS LÄN</t>
        </is>
      </c>
      <c r="E52" t="inlineStr">
        <is>
          <t>NYNÄSHAMN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26501-2024</t>
        </is>
      </c>
      <c r="B53" s="1" t="n">
        <v>45469</v>
      </c>
      <c r="C53" s="1" t="n">
        <v>46197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8932-2023</t>
        </is>
      </c>
      <c r="B54" s="1" t="n">
        <v>44979</v>
      </c>
      <c r="C54" s="1" t="n">
        <v>46197</v>
      </c>
      <c r="D54" t="inlineStr">
        <is>
          <t>STOCKHOLMS LÄN</t>
        </is>
      </c>
      <c r="E54" t="inlineStr">
        <is>
          <t>NYNÄSHAMN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4688-2023</t>
        </is>
      </c>
      <c r="B55" s="1" t="n">
        <v>44957</v>
      </c>
      <c r="C55" s="1" t="n">
        <v>46197</v>
      </c>
      <c r="D55" t="inlineStr">
        <is>
          <t>STOCKHOLMS LÄN</t>
        </is>
      </c>
      <c r="E55" t="inlineStr">
        <is>
          <t>NYNÄSHAMN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9020-2023</t>
        </is>
      </c>
      <c r="B56" s="1" t="n">
        <v>44979</v>
      </c>
      <c r="C56" s="1" t="n">
        <v>46197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37098-2021</t>
        </is>
      </c>
      <c r="B57" s="1" t="n">
        <v>44396</v>
      </c>
      <c r="C57" s="1" t="n">
        <v>46197</v>
      </c>
      <c r="D57" t="inlineStr">
        <is>
          <t>STOCKHOLMS LÄN</t>
        </is>
      </c>
      <c r="E57" t="inlineStr">
        <is>
          <t>NYNÄSHAMN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6775-2022</t>
        </is>
      </c>
      <c r="B58" s="1" t="n">
        <v>44602</v>
      </c>
      <c r="C58" s="1" t="n">
        <v>46197</v>
      </c>
      <c r="D58" t="inlineStr">
        <is>
          <t>STOCKHOLMS LÄN</t>
        </is>
      </c>
      <c r="E58" t="inlineStr">
        <is>
          <t>NYNÄSHAMN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46197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46197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29811-2025</t>
        </is>
      </c>
      <c r="B61" s="1" t="n">
        <v>45825</v>
      </c>
      <c r="C61" s="1" t="n">
        <v>46197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52953-2024</t>
        </is>
      </c>
      <c r="B62" s="1" t="n">
        <v>45610</v>
      </c>
      <c r="C62" s="1" t="n">
        <v>46197</v>
      </c>
      <c r="D62" t="inlineStr">
        <is>
          <t>STOCKHOLMS LÄN</t>
        </is>
      </c>
      <c r="E62" t="inlineStr">
        <is>
          <t>NYNÄSHAMN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13945-2025</t>
        </is>
      </c>
      <c r="B63" s="1" t="n">
        <v>45737</v>
      </c>
      <c r="C63" s="1" t="n">
        <v>46197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15176-2024</t>
        </is>
      </c>
      <c r="B64" s="1" t="n">
        <v>45400</v>
      </c>
      <c r="C64" s="1" t="n">
        <v>46197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46857-2025</t>
        </is>
      </c>
      <c r="B65" s="1" t="n">
        <v>45928</v>
      </c>
      <c r="C65" s="1" t="n">
        <v>46197</v>
      </c>
      <c r="D65" t="inlineStr">
        <is>
          <t>STOCKHOLMS LÄN</t>
        </is>
      </c>
      <c r="E65" t="inlineStr">
        <is>
          <t>NYNÄSHAMN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36468-2025</t>
        </is>
      </c>
      <c r="B66" s="1" t="n">
        <v>45869</v>
      </c>
      <c r="C66" s="1" t="n">
        <v>46197</v>
      </c>
      <c r="D66" t="inlineStr">
        <is>
          <t>STOCKHOLMS LÄN</t>
        </is>
      </c>
      <c r="E66" t="inlineStr">
        <is>
          <t>NYNÄSHAMN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36496-2025</t>
        </is>
      </c>
      <c r="B67" s="1" t="n">
        <v>45869</v>
      </c>
      <c r="C67" s="1" t="n">
        <v>46197</v>
      </c>
      <c r="D67" t="inlineStr">
        <is>
          <t>STOCKHOLMS LÄN</t>
        </is>
      </c>
      <c r="E67" t="inlineStr">
        <is>
          <t>NYNÄSHAMN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48456-2025</t>
        </is>
      </c>
      <c r="B68" s="1" t="n">
        <v>45935</v>
      </c>
      <c r="C68" s="1" t="n">
        <v>46197</v>
      </c>
      <c r="D68" t="inlineStr">
        <is>
          <t>STOCKHOLMS LÄN</t>
        </is>
      </c>
      <c r="E68" t="inlineStr">
        <is>
          <t>NYNÄSHAMN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25175-2023</t>
        </is>
      </c>
      <c r="B69" s="1" t="n">
        <v>45086</v>
      </c>
      <c r="C69" s="1" t="n">
        <v>46197</v>
      </c>
      <c r="D69" t="inlineStr">
        <is>
          <t>STOCKHOLMS LÄN</t>
        </is>
      </c>
      <c r="E69" t="inlineStr">
        <is>
          <t>NYNÄSHAMN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34385-2023</t>
        </is>
      </c>
      <c r="B70" s="1" t="n">
        <v>45139</v>
      </c>
      <c r="C70" s="1" t="n">
        <v>46197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52859-2024</t>
        </is>
      </c>
      <c r="B71" s="1" t="n">
        <v>45610</v>
      </c>
      <c r="C71" s="1" t="n">
        <v>46197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63931-2021</t>
        </is>
      </c>
      <c r="B72" s="1" t="n">
        <v>44509</v>
      </c>
      <c r="C72" s="1" t="n">
        <v>46197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5884-2026</t>
        </is>
      </c>
      <c r="B73" s="1" t="n">
        <v>46052</v>
      </c>
      <c r="C73" s="1" t="n">
        <v>46197</v>
      </c>
      <c r="D73" t="inlineStr">
        <is>
          <t>STOCKHOLMS LÄN</t>
        </is>
      </c>
      <c r="E73" t="inlineStr">
        <is>
          <t>NYNÄSHAMN</t>
        </is>
      </c>
      <c r="F73" t="inlineStr">
        <is>
          <t>Kyrkan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24288-2024</t>
        </is>
      </c>
      <c r="B74" s="1" t="n">
        <v>45457</v>
      </c>
      <c r="C74" s="1" t="n">
        <v>46197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52950-2024</t>
        </is>
      </c>
      <c r="B75" s="1" t="n">
        <v>45610</v>
      </c>
      <c r="C75" s="1" t="n">
        <v>46197</v>
      </c>
      <c r="D75" t="inlineStr">
        <is>
          <t>STOCKHOLMS LÄN</t>
        </is>
      </c>
      <c r="E75" t="inlineStr">
        <is>
          <t>NYNÄSHAMN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52911-2024</t>
        </is>
      </c>
      <c r="B76" s="1" t="n">
        <v>45610</v>
      </c>
      <c r="C76" s="1" t="n">
        <v>46197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51954-2025</t>
        </is>
      </c>
      <c r="B77" s="1" t="n">
        <v>45952</v>
      </c>
      <c r="C77" s="1" t="n">
        <v>46197</v>
      </c>
      <c r="D77" t="inlineStr">
        <is>
          <t>STOCKHOLMS LÄN</t>
        </is>
      </c>
      <c r="E77" t="inlineStr">
        <is>
          <t>NYNÄSHAMN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47089-2023</t>
        </is>
      </c>
      <c r="B78" s="1" t="n">
        <v>45196</v>
      </c>
      <c r="C78" s="1" t="n">
        <v>46197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</v>
      </c>
      <c r="C79" s="1" t="n">
        <v>46197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56385-2025</t>
        </is>
      </c>
      <c r="B80" s="1" t="n">
        <v>45974</v>
      </c>
      <c r="C80" s="1" t="n">
        <v>46197</v>
      </c>
      <c r="D80" t="inlineStr">
        <is>
          <t>STOCKHOLMS LÄN</t>
        </is>
      </c>
      <c r="E80" t="inlineStr">
        <is>
          <t>NYNÄSHAMN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34818-2021</t>
        </is>
      </c>
      <c r="B81" s="1" t="n">
        <v>44383</v>
      </c>
      <c r="C81" s="1" t="n">
        <v>46197</v>
      </c>
      <c r="D81" t="inlineStr">
        <is>
          <t>STOCKHOLMS LÄN</t>
        </is>
      </c>
      <c r="E81" t="inlineStr">
        <is>
          <t>NYNÄSHAMN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30910-2023</t>
        </is>
      </c>
      <c r="B82" s="1" t="n">
        <v>45113</v>
      </c>
      <c r="C82" s="1" t="n">
        <v>46197</v>
      </c>
      <c r="D82" t="inlineStr">
        <is>
          <t>STOCKHOLMS LÄN</t>
        </is>
      </c>
      <c r="E82" t="inlineStr">
        <is>
          <t>NYNÄSHAMN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12031-2026</t>
        </is>
      </c>
      <c r="B83" s="1" t="n">
        <v>46085</v>
      </c>
      <c r="C83" s="1" t="n">
        <v>46197</v>
      </c>
      <c r="D83" t="inlineStr">
        <is>
          <t>STOCKHOLMS LÄN</t>
        </is>
      </c>
      <c r="E83" t="inlineStr">
        <is>
          <t>NYNÄSHAMN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12032-2026</t>
        </is>
      </c>
      <c r="B84" s="1" t="n">
        <v>46085</v>
      </c>
      <c r="C84" s="1" t="n">
        <v>46197</v>
      </c>
      <c r="D84" t="inlineStr">
        <is>
          <t>STOCKHOLMS LÄN</t>
        </is>
      </c>
      <c r="E84" t="inlineStr">
        <is>
          <t>NYNÄSHAMN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37103-2021</t>
        </is>
      </c>
      <c r="B85" s="1" t="n">
        <v>44396</v>
      </c>
      <c r="C85" s="1" t="n">
        <v>46197</v>
      </c>
      <c r="D85" t="inlineStr">
        <is>
          <t>STOCKHOLMS LÄN</t>
        </is>
      </c>
      <c r="E85" t="inlineStr">
        <is>
          <t>NYNÄSHAMN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37104-2021</t>
        </is>
      </c>
      <c r="B86" s="1" t="n">
        <v>44396</v>
      </c>
      <c r="C86" s="1" t="n">
        <v>46197</v>
      </c>
      <c r="D86" t="inlineStr">
        <is>
          <t>STOCKHOLMS LÄN</t>
        </is>
      </c>
      <c r="E86" t="inlineStr">
        <is>
          <t>NYNÄSHAMN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34660-2023</t>
        </is>
      </c>
      <c r="B87" s="1" t="n">
        <v>45140</v>
      </c>
      <c r="C87" s="1" t="n">
        <v>46197</v>
      </c>
      <c r="D87" t="inlineStr">
        <is>
          <t>STOCKHOLMS LÄN</t>
        </is>
      </c>
      <c r="E87" t="inlineStr">
        <is>
          <t>NYNÄSHAMN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9062-2023</t>
        </is>
      </c>
      <c r="B88" s="1" t="n">
        <v>44979</v>
      </c>
      <c r="C88" s="1" t="n">
        <v>46197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47128-2023</t>
        </is>
      </c>
      <c r="B89" s="1" t="n">
        <v>45196</v>
      </c>
      <c r="C89" s="1" t="n">
        <v>46197</v>
      </c>
      <c r="D89" t="inlineStr">
        <is>
          <t>STOCKHOLMS LÄN</t>
        </is>
      </c>
      <c r="E89" t="inlineStr">
        <is>
          <t>NYNÄSHAMN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2367-2023</t>
        </is>
      </c>
      <c r="B90" s="1" t="n">
        <v>44942</v>
      </c>
      <c r="C90" s="1" t="n">
        <v>46197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26505-2024</t>
        </is>
      </c>
      <c r="B91" s="1" t="n">
        <v>45469</v>
      </c>
      <c r="C91" s="1" t="n">
        <v>46197</v>
      </c>
      <c r="D91" t="inlineStr">
        <is>
          <t>STOCKHOLMS LÄN</t>
        </is>
      </c>
      <c r="E91" t="inlineStr">
        <is>
          <t>NYNÄSHAMN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17990-2024</t>
        </is>
      </c>
      <c r="B92" s="1" t="n">
        <v>45419</v>
      </c>
      <c r="C92" s="1" t="n">
        <v>46197</v>
      </c>
      <c r="D92" t="inlineStr">
        <is>
          <t>STOCKHOLMS LÄN</t>
        </is>
      </c>
      <c r="E92" t="inlineStr">
        <is>
          <t>NYNÄSHAMN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24595-2026</t>
        </is>
      </c>
      <c r="B93" s="1" t="n">
        <v>46170</v>
      </c>
      <c r="C93" s="1" t="n">
        <v>46197</v>
      </c>
      <c r="D93" t="inlineStr">
        <is>
          <t>STOCKHOLMS LÄN</t>
        </is>
      </c>
      <c r="E93" t="inlineStr">
        <is>
          <t>NYNÄSHAMN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18411-2025</t>
        </is>
      </c>
      <c r="B94" s="1" t="n">
        <v>45762</v>
      </c>
      <c r="C94" s="1" t="n">
        <v>46197</v>
      </c>
      <c r="D94" t="inlineStr">
        <is>
          <t>STOCKHOLMS LÄN</t>
        </is>
      </c>
      <c r="E94" t="inlineStr">
        <is>
          <t>NYNÄSHAMN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60977-2022</t>
        </is>
      </c>
      <c r="B95" s="1" t="n">
        <v>44908</v>
      </c>
      <c r="C95" s="1" t="n">
        <v>46197</v>
      </c>
      <c r="D95" t="inlineStr">
        <is>
          <t>STOCKHOLMS LÄN</t>
        </is>
      </c>
      <c r="E95" t="inlineStr">
        <is>
          <t>NYNÄSHAMN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21192-2023</t>
        </is>
      </c>
      <c r="B96" s="1" t="n">
        <v>45062</v>
      </c>
      <c r="C96" s="1" t="n">
        <v>46197</v>
      </c>
      <c r="D96" t="inlineStr">
        <is>
          <t>STOCKHOLMS LÄN</t>
        </is>
      </c>
      <c r="E96" t="inlineStr">
        <is>
          <t>NYNÄSHAMN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36052-2023</t>
        </is>
      </c>
      <c r="B97" s="1" t="n">
        <v>45149</v>
      </c>
      <c r="C97" s="1" t="n">
        <v>46197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48978-2023</t>
        </is>
      </c>
      <c r="B98" s="1" t="n">
        <v>45209</v>
      </c>
      <c r="C98" s="1" t="n">
        <v>46197</v>
      </c>
      <c r="D98" t="inlineStr">
        <is>
          <t>STOCKHOLMS LÄN</t>
        </is>
      </c>
      <c r="E98" t="inlineStr">
        <is>
          <t>NYNÄSHAMN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41680-2023</t>
        </is>
      </c>
      <c r="B99" s="1" t="n">
        <v>45173</v>
      </c>
      <c r="C99" s="1" t="n">
        <v>46197</v>
      </c>
      <c r="D99" t="inlineStr">
        <is>
          <t>STOCKHOLMS LÄN</t>
        </is>
      </c>
      <c r="E99" t="inlineStr">
        <is>
          <t>NYNÄSHAMN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26190-2022</t>
        </is>
      </c>
      <c r="B100" s="1" t="n">
        <v>44735</v>
      </c>
      <c r="C100" s="1" t="n">
        <v>46197</v>
      </c>
      <c r="D100" t="inlineStr">
        <is>
          <t>STOCKHOLMS LÄN</t>
        </is>
      </c>
      <c r="E100" t="inlineStr">
        <is>
          <t>NYNÄSHAMN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63463-2023</t>
        </is>
      </c>
      <c r="B101" s="1" t="n">
        <v>45274</v>
      </c>
      <c r="C101" s="1" t="n">
        <v>46197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64494-2023</t>
        </is>
      </c>
      <c r="B102" s="1" t="n">
        <v>45280</v>
      </c>
      <c r="C102" s="1" t="n">
        <v>46197</v>
      </c>
      <c r="D102" t="inlineStr">
        <is>
          <t>STOCKHOLMS LÄN</t>
        </is>
      </c>
      <c r="E102" t="inlineStr">
        <is>
          <t>NYNÄSHAMN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</v>
      </c>
      <c r="C103" s="1" t="n">
        <v>46197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27748-2023</t>
        </is>
      </c>
      <c r="B104" s="1" t="n">
        <v>45098</v>
      </c>
      <c r="C104" s="1" t="n">
        <v>46197</v>
      </c>
      <c r="D104" t="inlineStr">
        <is>
          <t>STOCKHOLMS LÄN</t>
        </is>
      </c>
      <c r="E104" t="inlineStr">
        <is>
          <t>NYNÄSHAMN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62038-2023</t>
        </is>
      </c>
      <c r="B105" s="1" t="n">
        <v>45266</v>
      </c>
      <c r="C105" s="1" t="n">
        <v>46197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7180-2024</t>
        </is>
      </c>
      <c r="B106" s="1" t="n">
        <v>45344</v>
      </c>
      <c r="C106" s="1" t="n">
        <v>46197</v>
      </c>
      <c r="D106" t="inlineStr">
        <is>
          <t>STOCKHOLMS LÄN</t>
        </is>
      </c>
      <c r="E106" t="inlineStr">
        <is>
          <t>NYNÄSHAMN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41677-2023</t>
        </is>
      </c>
      <c r="B107" s="1" t="n">
        <v>45173</v>
      </c>
      <c r="C107" s="1" t="n">
        <v>46197</v>
      </c>
      <c r="D107" t="inlineStr">
        <is>
          <t>STOCKHOLMS LÄN</t>
        </is>
      </c>
      <c r="E107" t="inlineStr">
        <is>
          <t>NYNÄSHAMN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62878-2023</t>
        </is>
      </c>
      <c r="B108" s="1" t="n">
        <v>45272</v>
      </c>
      <c r="C108" s="1" t="n">
        <v>46197</v>
      </c>
      <c r="D108" t="inlineStr">
        <is>
          <t>STOCKHOLMS LÄN</t>
        </is>
      </c>
      <c r="E108" t="inlineStr">
        <is>
          <t>NYNÄSHAMN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17634-2022</t>
        </is>
      </c>
      <c r="B109" s="1" t="n">
        <v>44680</v>
      </c>
      <c r="C109" s="1" t="n">
        <v>46197</v>
      </c>
      <c r="D109" t="inlineStr">
        <is>
          <t>STOCKHOLMS LÄN</t>
        </is>
      </c>
      <c r="E109" t="inlineStr">
        <is>
          <t>NYNÄSHAMN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44619-2023</t>
        </is>
      </c>
      <c r="B110" s="1" t="n">
        <v>45189</v>
      </c>
      <c r="C110" s="1" t="n">
        <v>46197</v>
      </c>
      <c r="D110" t="inlineStr">
        <is>
          <t>STOCKHOLMS LÄN</t>
        </is>
      </c>
      <c r="E110" t="inlineStr">
        <is>
          <t>NYNÄSHAMN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64411-2023</t>
        </is>
      </c>
      <c r="B111" s="1" t="n">
        <v>45280</v>
      </c>
      <c r="C111" s="1" t="n">
        <v>46197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52910-2024</t>
        </is>
      </c>
      <c r="B112" s="1" t="n">
        <v>45610</v>
      </c>
      <c r="C112" s="1" t="n">
        <v>46197</v>
      </c>
      <c r="D112" t="inlineStr">
        <is>
          <t>STOCKHOLMS LÄN</t>
        </is>
      </c>
      <c r="E112" t="inlineStr">
        <is>
          <t>NYNÄSHAMN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44624-2023</t>
        </is>
      </c>
      <c r="B113" s="1" t="n">
        <v>45184</v>
      </c>
      <c r="C113" s="1" t="n">
        <v>46197</v>
      </c>
      <c r="D113" t="inlineStr">
        <is>
          <t>STOCKHOLMS LÄN</t>
        </is>
      </c>
      <c r="E113" t="inlineStr">
        <is>
          <t>NYNÄSHAMN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33787-2024</t>
        </is>
      </c>
      <c r="B114" s="1" t="n">
        <v>45520</v>
      </c>
      <c r="C114" s="1" t="n">
        <v>46197</v>
      </c>
      <c r="D114" t="inlineStr">
        <is>
          <t>STOCKHOLMS LÄN</t>
        </is>
      </c>
      <c r="E114" t="inlineStr">
        <is>
          <t>NYNÄSHAMN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41281-2021</t>
        </is>
      </c>
      <c r="B115" s="1" t="n">
        <v>44424</v>
      </c>
      <c r="C115" s="1" t="n">
        <v>46197</v>
      </c>
      <c r="D115" t="inlineStr">
        <is>
          <t>STOCKHOLMS LÄN</t>
        </is>
      </c>
      <c r="E115" t="inlineStr">
        <is>
          <t>NYNÄSHAMN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35356-2023</t>
        </is>
      </c>
      <c r="B116" s="1" t="n">
        <v>45146</v>
      </c>
      <c r="C116" s="1" t="n">
        <v>46197</v>
      </c>
      <c r="D116" t="inlineStr">
        <is>
          <t>STOCKHOLMS LÄN</t>
        </is>
      </c>
      <c r="E116" t="inlineStr">
        <is>
          <t>NYNÄSHAMN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33667-2022</t>
        </is>
      </c>
      <c r="B117" s="1" t="n">
        <v>44789</v>
      </c>
      <c r="C117" s="1" t="n">
        <v>46197</v>
      </c>
      <c r="D117" t="inlineStr">
        <is>
          <t>STOCKHOLMS LÄN</t>
        </is>
      </c>
      <c r="E117" t="inlineStr">
        <is>
          <t>NYNÄSHAMN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15460-2025</t>
        </is>
      </c>
      <c r="B118" s="1" t="n">
        <v>45747</v>
      </c>
      <c r="C118" s="1" t="n">
        <v>46197</v>
      </c>
      <c r="D118" t="inlineStr">
        <is>
          <t>STOCKHOLMS LÄN</t>
        </is>
      </c>
      <c r="E118" t="inlineStr">
        <is>
          <t>NYNÄSHAMN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46197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10224-2023</t>
        </is>
      </c>
      <c r="B120" s="1" t="n">
        <v>44986</v>
      </c>
      <c r="C120" s="1" t="n">
        <v>46197</v>
      </c>
      <c r="D120" t="inlineStr">
        <is>
          <t>STOCKHOLMS LÄN</t>
        </is>
      </c>
      <c r="E120" t="inlineStr">
        <is>
          <t>NYNÄSHAMN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636-2025</t>
        </is>
      </c>
      <c r="B121" s="1" t="n">
        <v>45664</v>
      </c>
      <c r="C121" s="1" t="n">
        <v>46197</v>
      </c>
      <c r="D121" t="inlineStr">
        <is>
          <t>STOCKHOLMS LÄN</t>
        </is>
      </c>
      <c r="E121" t="inlineStr">
        <is>
          <t>NYNÄSHAMN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2170-2023</t>
        </is>
      </c>
      <c r="B122" s="1" t="n">
        <v>44941</v>
      </c>
      <c r="C122" s="1" t="n">
        <v>46197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41767-2024</t>
        </is>
      </c>
      <c r="B123" s="1" t="n">
        <v>45561</v>
      </c>
      <c r="C123" s="1" t="n">
        <v>46197</v>
      </c>
      <c r="D123" t="inlineStr">
        <is>
          <t>STOCKHOLMS LÄN</t>
        </is>
      </c>
      <c r="E123" t="inlineStr">
        <is>
          <t>NYNÄSHAMN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15465-2025</t>
        </is>
      </c>
      <c r="B124" s="1" t="n">
        <v>45747</v>
      </c>
      <c r="C124" s="1" t="n">
        <v>46197</v>
      </c>
      <c r="D124" t="inlineStr">
        <is>
          <t>STOCKHOLMS LÄN</t>
        </is>
      </c>
      <c r="E124" t="inlineStr">
        <is>
          <t>NYNÄSHAMN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1658-2022</t>
        </is>
      </c>
      <c r="B125" s="1" t="n">
        <v>44574</v>
      </c>
      <c r="C125" s="1" t="n">
        <v>46197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21202-2025</t>
        </is>
      </c>
      <c r="B126" s="1" t="n">
        <v>45779</v>
      </c>
      <c r="C126" s="1" t="n">
        <v>46197</v>
      </c>
      <c r="D126" t="inlineStr">
        <is>
          <t>STOCKHOLMS LÄN</t>
        </is>
      </c>
      <c r="E126" t="inlineStr">
        <is>
          <t>NYNÄSHAMN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22721-2025</t>
        </is>
      </c>
      <c r="B127" s="1" t="n">
        <v>45789</v>
      </c>
      <c r="C127" s="1" t="n">
        <v>46197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22730-2025</t>
        </is>
      </c>
      <c r="B128" s="1" t="n">
        <v>45789</v>
      </c>
      <c r="C128" s="1" t="n">
        <v>46197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2026-06-24T00:46:21Z</dcterms:created>
  <dcterms:modified xmlns:dcterms="http://purl.org/dc/terms/" xmlns:xsi="http://www.w3.org/2001/XMLSchema-instance" xsi:type="dcterms:W3CDTF">2026-06-24T00:46:21Z</dcterms:modified>
</cp:coreProperties>
</file>