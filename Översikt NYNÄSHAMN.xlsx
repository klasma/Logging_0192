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46248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46248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46248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46248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46248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46248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46248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46248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46248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46248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46248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46248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41371-2021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44424</v>
      </c>
      <c r="E14" s="1" t="n">
        <v>46248</v>
      </c>
      <c r="F14" t="inlineStr">
        <is>
          <t>STOCKHOLMS LÄN</t>
        </is>
      </c>
      <c r="G14" t="inlineStr">
        <is>
          <t>NYNÄSHAMN</t>
        </is>
      </c>
      <c r="I14" t="n">
        <v>7.4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Grov fjädermossa
Grön sköldmossa
Stor revmossa</t>
        </is>
      </c>
      <c r="W14">
        <f>HYPERLINK("https://klasma.github.io/Logging_0192/artfynd/A 41371-2021 artfynd.xlsx", "A 41371-2021")</f>
        <v/>
      </c>
      <c r="X14">
        <f>HYPERLINK("https://klasma.github.io/Logging_0192/kartor/A 41371-2021 karta.png", "A 41371-2021")</f>
        <v/>
      </c>
      <c r="Y14">
        <f>HYPERLINK("https://klasma.github.io/Logging_0192/kartor_geotiff/A 41371-2021 georefererad karta.tif", "A 41371-2021")</f>
        <v/>
      </c>
      <c r="AA14">
        <f>HYPERLINK("https://klasma.github.io/Logging_0192/klagomål/A 41371-2021 FSC-klagomål.docx", "A 41371-2021")</f>
        <v/>
      </c>
      <c r="AB14">
        <f>HYPERLINK("https://klasma.github.io/Logging_0192/klagomålsmail/A 41371-2021 FSC-klagomål mail.docx", "A 41371-2021")</f>
        <v/>
      </c>
      <c r="AC14">
        <f>HYPERLINK("https://klasma.github.io/Logging_0192/tillsyn/A 41371-2021 tillsynsbegäran.docx", "A 41371-2021")</f>
        <v/>
      </c>
      <c r="AD14">
        <f>HYPERLINK("https://klasma.github.io/Logging_0192/tillsynsmail/A 41371-2021 tillsynsbegäran mail.docx", "A 41371-2021")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46248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46248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46248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22716-2025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45789</v>
      </c>
      <c r="E18" s="1" t="n">
        <v>46248</v>
      </c>
      <c r="F18" t="inlineStr">
        <is>
          <t>STOCKHOLMS LÄN</t>
        </is>
      </c>
      <c r="G18" t="inlineStr">
        <is>
          <t>NYNÄSHAMN</t>
        </is>
      </c>
      <c r="H18" t="inlineStr">
        <is>
          <t>Kommuner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Stekelbock
Revlummer</t>
        </is>
      </c>
      <c r="W18">
        <f>HYPERLINK("https://klasma.github.io/Logging_0192/artfynd/A 22716-2025 artfynd.xlsx", "A 22716-2025")</f>
        <v/>
      </c>
      <c r="X18">
        <f>HYPERLINK("https://klasma.github.io/Logging_0192/kartor/A 22716-2025 karta.png", "A 22716-2025")</f>
        <v/>
      </c>
      <c r="Y18">
        <f>HYPERLINK("https://klasma.github.io/Logging_0192/kartor_geotiff/A 22716-2025 georefererad karta.tif", "A 22716-2025")</f>
        <v/>
      </c>
      <c r="AA18">
        <f>HYPERLINK("https://klasma.github.io/Logging_0192/klagomål/A 22716-2025 FSC-klagomål.docx", "A 22716-2025")</f>
        <v/>
      </c>
      <c r="AB18">
        <f>HYPERLINK("https://klasma.github.io/Logging_0192/klagomålsmail/A 22716-2025 FSC-klagomål mail.docx", "A 22716-2025")</f>
        <v/>
      </c>
      <c r="AC18">
        <f>HYPERLINK("https://klasma.github.io/Logging_0192/tillsyn/A 22716-2025 tillsynsbegäran.docx", "A 22716-2025")</f>
        <v/>
      </c>
      <c r="AD18">
        <f>HYPERLINK("https://klasma.github.io/Logging_0192/tillsynsmail/A 22716-2025 tillsynsbegäran mail.docx", "A 22716-2025")</f>
        <v/>
      </c>
    </row>
    <row r="19" ht="15" customHeight="1">
      <c r="A19" t="inlineStr">
        <is>
          <t>A 10059-2022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44621</v>
      </c>
      <c r="E19" s="1" t="n">
        <v>46248</v>
      </c>
      <c r="F19" t="inlineStr">
        <is>
          <t>STOCKHOLMS LÄN</t>
        </is>
      </c>
      <c r="G19" t="inlineStr">
        <is>
          <t>NYNÄSHAMN</t>
        </is>
      </c>
      <c r="I19" t="n">
        <v>17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Bolmört
Bollvitmossa</t>
        </is>
      </c>
      <c r="W19">
        <f>HYPERLINK("https://klasma.github.io/Logging_0192/artfynd/A 10059-2022 artfynd.xlsx", "A 10059-2022")</f>
        <v/>
      </c>
      <c r="X19">
        <f>HYPERLINK("https://klasma.github.io/Logging_0192/kartor/A 10059-2022 karta.png", "A 10059-2022")</f>
        <v/>
      </c>
      <c r="Y19">
        <f>HYPERLINK("https://klasma.github.io/Logging_0192/kartor_geotiff/A 10059-2022 georefererad karta.tif", "A 10059-2022")</f>
        <v/>
      </c>
      <c r="AA19">
        <f>HYPERLINK("https://klasma.github.io/Logging_0192/klagomål/A 10059-2022 FSC-klagomål.docx", "A 10059-2022")</f>
        <v/>
      </c>
      <c r="AB19">
        <f>HYPERLINK("https://klasma.github.io/Logging_0192/klagomålsmail/A 10059-2022 FSC-klagomål mail.docx", "A 10059-2022")</f>
        <v/>
      </c>
      <c r="AC19">
        <f>HYPERLINK("https://klasma.github.io/Logging_0192/tillsyn/A 10059-2022 tillsynsbegäran.docx", "A 10059-2022")</f>
        <v/>
      </c>
      <c r="AD19">
        <f>HYPERLINK("https://klasma.github.io/Logging_0192/tillsynsmail/A 10059-2022 tillsynsbegäran mail.docx", "A 10059-2022")</f>
        <v/>
      </c>
    </row>
    <row r="20" ht="15" customHeight="1">
      <c r="A20" t="inlineStr">
        <is>
          <t>A 33528-2023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46248</v>
      </c>
      <c r="F20" t="inlineStr">
        <is>
          <t>STOCKHOLMS LÄN</t>
        </is>
      </c>
      <c r="G20" t="inlineStr">
        <is>
          <t>NYNÄSHAMN</t>
        </is>
      </c>
      <c r="I20" t="n">
        <v>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33528-2023 artfynd.xlsx", "A 33528-2023")</f>
        <v/>
      </c>
      <c r="X20">
        <f>HYPERLINK("https://klasma.github.io/Logging_0192/kartor/A 33528-2023 karta.png", "A 33528-2023")</f>
        <v/>
      </c>
      <c r="Y20">
        <f>HYPERLINK("https://klasma.github.io/Logging_0192/kartor_geotiff/A 33528-2023 georefererad karta.tif", "A 33528-2023")</f>
        <v/>
      </c>
      <c r="AA20">
        <f>HYPERLINK("https://klasma.github.io/Logging_0192/klagomål/A 33528-2023 FSC-klagomål.docx", "A 33528-2023")</f>
        <v/>
      </c>
      <c r="AB20">
        <f>HYPERLINK("https://klasma.github.io/Logging_0192/klagomålsmail/A 33528-2023 FSC-klagomål mail.docx", "A 33528-2023")</f>
        <v/>
      </c>
      <c r="AC20">
        <f>HYPERLINK("https://klasma.github.io/Logging_0192/tillsyn/A 33528-2023 tillsynsbegäran.docx", "A 33528-2023")</f>
        <v/>
      </c>
      <c r="AD20">
        <f>HYPERLINK("https://klasma.github.io/Logging_0192/tillsynsmail/A 33528-2023 tillsynsbegäran mail.docx", "A 33528-2023")</f>
        <v/>
      </c>
    </row>
    <row r="21" ht="15" customHeight="1">
      <c r="A21" t="inlineStr">
        <is>
          <t>A 49523-2023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46248</v>
      </c>
      <c r="F21" t="inlineStr">
        <is>
          <t>STOCKHOLMS LÄN</t>
        </is>
      </c>
      <c r="G21" t="inlineStr">
        <is>
          <t>NYNÄSHAMN</t>
        </is>
      </c>
      <c r="I21" t="n">
        <v>2.2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Grönpyrola
Västlig hakmossa</t>
        </is>
      </c>
      <c r="W21">
        <f>HYPERLINK("https://klasma.github.io/Logging_0192/artfynd/A 49523-2023 artfynd.xlsx", "A 49523-2023")</f>
        <v/>
      </c>
      <c r="X21">
        <f>HYPERLINK("https://klasma.github.io/Logging_0192/kartor/A 49523-2023 karta.png", "A 49523-2023")</f>
        <v/>
      </c>
      <c r="Y21">
        <f>HYPERLINK("https://klasma.github.io/Logging_0192/kartor_geotiff/A 49523-2023 georefererad karta.tif", "A 49523-2023")</f>
        <v/>
      </c>
      <c r="AA21">
        <f>HYPERLINK("https://klasma.github.io/Logging_0192/klagomål/A 49523-2023 FSC-klagomål.docx", "A 49523-2023")</f>
        <v/>
      </c>
      <c r="AB21">
        <f>HYPERLINK("https://klasma.github.io/Logging_0192/klagomålsmail/A 49523-2023 FSC-klagomål mail.docx", "A 49523-2023")</f>
        <v/>
      </c>
      <c r="AC21">
        <f>HYPERLINK("https://klasma.github.io/Logging_0192/tillsyn/A 49523-2023 tillsynsbegäran.docx", "A 49523-2023")</f>
        <v/>
      </c>
      <c r="AD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46248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47093-2023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45196</v>
      </c>
      <c r="E23" s="1" t="n">
        <v>46248</v>
      </c>
      <c r="F23" t="inlineStr">
        <is>
          <t>STOCKHOLMS LÄN</t>
        </is>
      </c>
      <c r="G23" t="inlineStr">
        <is>
          <t>NYNÄSHAMN</t>
        </is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Hasselticka
Myskmadra</t>
        </is>
      </c>
      <c r="W23">
        <f>HYPERLINK("https://klasma.github.io/Logging_0192/artfynd/A 47093-2023 artfynd.xlsx", "A 47093-2023")</f>
        <v/>
      </c>
      <c r="X23">
        <f>HYPERLINK("https://klasma.github.io/Logging_0192/kartor/A 47093-2023 karta.png", "A 47093-2023")</f>
        <v/>
      </c>
      <c r="Y23">
        <f>HYPERLINK("https://klasma.github.io/Logging_0192/kartor_geotiff/A 47093-2023 georefererad karta.tif", "A 47093-2023")</f>
        <v/>
      </c>
      <c r="AA23">
        <f>HYPERLINK("https://klasma.github.io/Logging_0192/klagomål/A 47093-2023 FSC-klagomål.docx", "A 47093-2023")</f>
        <v/>
      </c>
      <c r="AB23">
        <f>HYPERLINK("https://klasma.github.io/Logging_0192/klagomålsmail/A 47093-2023 FSC-klagomål mail.docx", "A 47093-2023")</f>
        <v/>
      </c>
      <c r="AC23">
        <f>HYPERLINK("https://klasma.github.io/Logging_0192/tillsyn/A 47093-2023 tillsynsbegäran.docx", "A 47093-2023")</f>
        <v/>
      </c>
      <c r="AD23">
        <f>HYPERLINK("https://klasma.github.io/Logging_0192/tillsynsmail/A 47093-2023 tillsynsbegäran mail.docx", "A 47093-2023")</f>
        <v/>
      </c>
    </row>
    <row r="24" ht="15" customHeight="1">
      <c r="A24" t="inlineStr">
        <is>
          <t>A 8939-2023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44979</v>
      </c>
      <c r="E24" s="1" t="n">
        <v>46248</v>
      </c>
      <c r="F24" t="inlineStr">
        <is>
          <t>STOCKHOLMS LÄN</t>
        </is>
      </c>
      <c r="G24" t="inlineStr">
        <is>
          <t>NYNÄSHAMN</t>
        </is>
      </c>
      <c r="I24" t="n">
        <v>2.7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8939-2023 artfynd.xlsx", "A 8939-2023")</f>
        <v/>
      </c>
      <c r="X24">
        <f>HYPERLINK("https://klasma.github.io/Logging_0192/kartor/A 8939-2023 karta.png", "A 8939-2023")</f>
        <v/>
      </c>
      <c r="Y24">
        <f>HYPERLINK("https://klasma.github.io/Logging_0192/kartor_geotiff/A 8939-2023 georefererad karta.tif", "A 8939-2023")</f>
        <v/>
      </c>
      <c r="AA24">
        <f>HYPERLINK("https://klasma.github.io/Logging_0192/klagomål/A 8939-2023 FSC-klagomål.docx", "A 8939-2023")</f>
        <v/>
      </c>
      <c r="AB24">
        <f>HYPERLINK("https://klasma.github.io/Logging_0192/klagomålsmail/A 8939-2023 FSC-klagomål mail.docx", "A 8939-2023")</f>
        <v/>
      </c>
      <c r="AC24">
        <f>HYPERLINK("https://klasma.github.io/Logging_0192/tillsyn/A 8939-2023 tillsynsbegäran.docx", "A 8939-2023")</f>
        <v/>
      </c>
      <c r="AD24">
        <f>HYPERLINK("https://klasma.github.io/Logging_0192/tillsynsmail/A 8939-2023 tillsynsbegäran mail.docx", "A 8939-2023")</f>
        <v/>
      </c>
    </row>
    <row r="25" ht="15" customHeight="1">
      <c r="A25" t="inlineStr">
        <is>
          <t>A 5567-2023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44960</v>
      </c>
      <c r="E25" s="1" t="n">
        <v>46248</v>
      </c>
      <c r="F25" t="inlineStr">
        <is>
          <t>STOCKHOLMS LÄN</t>
        </is>
      </c>
      <c r="G25" t="inlineStr">
        <is>
          <t>NYNÄSHAMN</t>
        </is>
      </c>
      <c r="I25" t="n">
        <v>10.1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Sårläka
Blåsippa</t>
        </is>
      </c>
      <c r="W25">
        <f>HYPERLINK("https://klasma.github.io/Logging_0192/artfynd/A 5567-2023 artfynd.xlsx", "A 5567-2023")</f>
        <v/>
      </c>
      <c r="X25">
        <f>HYPERLINK("https://klasma.github.io/Logging_0192/kartor/A 5567-2023 karta.png", "A 5567-2023")</f>
        <v/>
      </c>
      <c r="Y25">
        <f>HYPERLINK("https://klasma.github.io/Logging_0192/kartor_geotiff/A 5567-2023 georefererad karta.tif", "A 5567-2023")</f>
        <v/>
      </c>
      <c r="AA25">
        <f>HYPERLINK("https://klasma.github.io/Logging_0192/klagomål/A 5567-2023 FSC-klagomål.docx", "A 5567-2023")</f>
        <v/>
      </c>
      <c r="AB25">
        <f>HYPERLINK("https://klasma.github.io/Logging_0192/klagomålsmail/A 5567-2023 FSC-klagomål mail.docx", "A 5567-2023")</f>
        <v/>
      </c>
      <c r="AC25">
        <f>HYPERLINK("https://klasma.github.io/Logging_0192/tillsyn/A 5567-2023 tillsynsbegäran.docx", "A 5567-2023")</f>
        <v/>
      </c>
      <c r="AD25">
        <f>HYPERLINK("https://klasma.github.io/Logging_0192/tillsynsmail/A 5567-2023 tillsynsbegäran mail.docx", "A 5567-2023")</f>
        <v/>
      </c>
    </row>
    <row r="26" ht="15" customHeight="1">
      <c r="A26" t="inlineStr">
        <is>
          <t>A 1561-2023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46248</v>
      </c>
      <c r="F26" t="inlineStr">
        <is>
          <t>STOCKHOLMS LÄN</t>
        </is>
      </c>
      <c r="G26" t="inlineStr">
        <is>
          <t>NYNÄSHAMN</t>
        </is>
      </c>
      <c r="I26" t="n">
        <v>1.3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5</v>
      </c>
      <c r="U26" t="n">
        <v>5</v>
      </c>
      <c r="V26" s="2" t="inlineStr">
        <is>
          <t>Tallticka
Blåsippa</t>
        </is>
      </c>
      <c r="W26">
        <f>HYPERLINK("https://klasma.github.io/Logging_0192/artfynd/A 1561-2023 artfynd.xlsx", "A 1561-2023")</f>
        <v/>
      </c>
      <c r="X26">
        <f>HYPERLINK("https://klasma.github.io/Logging_0192/kartor/A 1561-2023 karta.png", "A 1561-2023")</f>
        <v/>
      </c>
      <c r="Y26">
        <f>HYPERLINK("https://klasma.github.io/Logging_0192/kartor_geotiff/A 1561-2023 georefererad karta.tif", "A 1561-2023")</f>
        <v/>
      </c>
      <c r="AA26">
        <f>HYPERLINK("https://klasma.github.io/Logging_0192/klagomål/A 1561-2023 FSC-klagomål.docx", "A 1561-2023")</f>
        <v/>
      </c>
      <c r="AB26">
        <f>HYPERLINK("https://klasma.github.io/Logging_0192/klagomålsmail/A 1561-2023 FSC-klagomål mail.docx", "A 1561-2023")</f>
        <v/>
      </c>
      <c r="AC26">
        <f>HYPERLINK("https://klasma.github.io/Logging_0192/tillsyn/A 1561-2023 tillsynsbegäran.docx", "A 1561-2023")</f>
        <v/>
      </c>
      <c r="AD26">
        <f>HYPERLINK("https://klasma.github.io/Logging_0192/tillsynsmail/A 1561-2023 tillsynsbegäran mail.docx", "A 1561-2023")</f>
        <v/>
      </c>
    </row>
    <row r="27" ht="15" customHeight="1">
      <c r="A27" t="inlineStr">
        <is>
          <t>A 12033-2026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46085</v>
      </c>
      <c r="E27" s="1" t="n">
        <v>46248</v>
      </c>
      <c r="F27" t="inlineStr">
        <is>
          <t>STOCKHOLMS LÄN</t>
        </is>
      </c>
      <c r="G27" t="inlineStr">
        <is>
          <t>NYNÄSHAMN</t>
        </is>
      </c>
      <c r="I27" t="n">
        <v>2.4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Fjällvråk
Havsörn</t>
        </is>
      </c>
      <c r="W27">
        <f>HYPERLINK("https://klasma.github.io/Logging_0192/artfynd/A 12033-2026 artfynd.xlsx", "A 12033-2026")</f>
        <v/>
      </c>
      <c r="X27">
        <f>HYPERLINK("https://klasma.github.io/Logging_0192/kartor/A 12033-2026 karta.png", "A 12033-2026")</f>
        <v/>
      </c>
      <c r="Y27">
        <f>HYPERLINK("https://klasma.github.io/Logging_0192/kartor_geotiff/A 12033-2026 georefererad karta.tif", "A 12033-2026")</f>
        <v/>
      </c>
      <c r="AA27">
        <f>HYPERLINK("https://klasma.github.io/Logging_0192/klagomål/A 12033-2026 FSC-klagomål.docx", "A 12033-2026")</f>
        <v/>
      </c>
      <c r="AB27">
        <f>HYPERLINK("https://klasma.github.io/Logging_0192/klagomålsmail/A 12033-2026 FSC-klagomål mail.docx", "A 12033-2026")</f>
        <v/>
      </c>
      <c r="AC27">
        <f>HYPERLINK("https://klasma.github.io/Logging_0192/tillsyn/A 12033-2026 tillsynsbegäran.docx", "A 12033-2026")</f>
        <v/>
      </c>
      <c r="AD27">
        <f>HYPERLINK("https://klasma.github.io/Logging_0192/tillsynsmail/A 12033-2026 tillsynsbegäran mail.docx", "A 12033-2026")</f>
        <v/>
      </c>
      <c r="AE27">
        <f>HYPERLINK("https://klasma.github.io/Logging_0192/fåglar/A 12033-2026 prioriterade fågelarter.docx", "A 12033-2026")</f>
        <v/>
      </c>
    </row>
    <row r="28" ht="15" customHeight="1">
      <c r="A28" t="inlineStr">
        <is>
          <t>A 9017-2023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44979</v>
      </c>
      <c r="E28" s="1" t="n">
        <v>46248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2.7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HYPERLINK("https://klasma.github.io/Logging_0192/artfynd/A 9017-2023 artfynd.xlsx", "A 9017-2023")</f>
        <v/>
      </c>
      <c r="X28">
        <f>HYPERLINK("https://klasma.github.io/Logging_0192/kartor/A 9017-2023 karta.png", "A 9017-2023")</f>
        <v/>
      </c>
      <c r="Y28">
        <f>HYPERLINK("https://klasma.github.io/Logging_0192/kartor_geotiff/A 9017-2023 georefererad karta.tif", "A 9017-2023")</f>
        <v/>
      </c>
      <c r="AA28">
        <f>HYPERLINK("https://klasma.github.io/Logging_0192/klagomål/A 9017-2023 FSC-klagomål.docx", "A 9017-2023")</f>
        <v/>
      </c>
      <c r="AB28">
        <f>HYPERLINK("https://klasma.github.io/Logging_0192/klagomålsmail/A 9017-2023 FSC-klagomål mail.docx", "A 9017-2023")</f>
        <v/>
      </c>
      <c r="AC28">
        <f>HYPERLINK("https://klasma.github.io/Logging_0192/tillsyn/A 9017-2023 tillsynsbegäran.docx", "A 9017-2023")</f>
        <v/>
      </c>
      <c r="AD28">
        <f>HYPERLINK("https://klasma.github.io/Logging_0192/tillsynsmail/A 9017-2023 tillsynsbegäran mail.docx", "A 9017-2023")</f>
        <v/>
      </c>
    </row>
    <row r="29" ht="15" customHeight="1">
      <c r="A29" t="inlineStr">
        <is>
          <t>A 62634-2022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44917</v>
      </c>
      <c r="E29" s="1" t="n">
        <v>46248</v>
      </c>
      <c r="F29" t="inlineStr">
        <is>
          <t>STOCKHOLMS LÄN</t>
        </is>
      </c>
      <c r="G29" t="inlineStr">
        <is>
          <t>NYNÄSHAMN</t>
        </is>
      </c>
      <c r="I29" t="n">
        <v>15.8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padda</t>
        </is>
      </c>
      <c r="W29">
        <f>HYPERLINK("https://klasma.github.io/Logging_0192/artfynd/A 62634-2022 artfynd.xlsx", "A 62634-2022")</f>
        <v/>
      </c>
      <c r="X29">
        <f>HYPERLINK("https://klasma.github.io/Logging_0192/kartor/A 62634-2022 karta.png", "A 62634-2022")</f>
        <v/>
      </c>
      <c r="Y29">
        <f>HYPERLINK("https://klasma.github.io/Logging_0192/kartor_geotiff/A 62634-2022 georefererad karta.tif", "A 62634-2022")</f>
        <v/>
      </c>
      <c r="AA29">
        <f>HYPERLINK("https://klasma.github.io/Logging_0192/klagomål/A 62634-2022 FSC-klagomål.docx", "A 62634-2022")</f>
        <v/>
      </c>
      <c r="AB29">
        <f>HYPERLINK("https://klasma.github.io/Logging_0192/klagomålsmail/A 62634-2022 FSC-klagomål mail.docx", "A 62634-2022")</f>
        <v/>
      </c>
      <c r="AC29">
        <f>HYPERLINK("https://klasma.github.io/Logging_0192/tillsyn/A 62634-2022 tillsynsbegäran.docx", "A 62634-2022")</f>
        <v/>
      </c>
      <c r="AD29">
        <f>HYPERLINK("https://klasma.github.io/Logging_0192/tillsynsmail/A 62634-2022 tillsynsbegäran mail.docx", "A 62634-2022")</f>
        <v/>
      </c>
    </row>
    <row r="30" ht="15" customHeight="1">
      <c r="A30" t="inlineStr">
        <is>
          <t>A 31842-2023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46248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3.8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Grön sköldmossa</t>
        </is>
      </c>
      <c r="W30">
        <f>HYPERLINK("https://klasma.github.io/Logging_0192/artfynd/A 31842-2023 artfynd.xlsx", "A 31842-2023")</f>
        <v/>
      </c>
      <c r="X30">
        <f>HYPERLINK("https://klasma.github.io/Logging_0192/kartor/A 31842-2023 karta.png", "A 31842-2023")</f>
        <v/>
      </c>
      <c r="Y30">
        <f>HYPERLINK("https://klasma.github.io/Logging_0192/kartor_geotiff/A 31842-2023 georefererad karta.tif", "A 31842-2023")</f>
        <v/>
      </c>
      <c r="AA30">
        <f>HYPERLINK("https://klasma.github.io/Logging_0192/klagomål/A 31842-2023 FSC-klagomål.docx", "A 31842-2023")</f>
        <v/>
      </c>
      <c r="AB30">
        <f>HYPERLINK("https://klasma.github.io/Logging_0192/klagomålsmail/A 31842-2023 FSC-klagomål mail.docx", "A 31842-2023")</f>
        <v/>
      </c>
      <c r="AC30">
        <f>HYPERLINK("https://klasma.github.io/Logging_0192/tillsyn/A 31842-2023 tillsynsbegäran.docx", "A 31842-2023")</f>
        <v/>
      </c>
      <c r="AD30">
        <f>HYPERLINK("https://klasma.github.io/Logging_0192/tillsynsmail/A 31842-2023 tillsynsbegäran mail.docx", "A 31842-2023")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46248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64196-2023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46248</v>
      </c>
      <c r="F32" t="inlineStr">
        <is>
          <t>STOCKHOLMS LÄN</t>
        </is>
      </c>
      <c r="G32" t="inlineStr">
        <is>
          <t>NYNÄSHAMN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Revlummer</t>
        </is>
      </c>
      <c r="W32">
        <f>HYPERLINK("https://klasma.github.io/Logging_0192/artfynd/A 64196-2023 artfynd.xlsx", "A 64196-2023")</f>
        <v/>
      </c>
      <c r="X32">
        <f>HYPERLINK("https://klasma.github.io/Logging_0192/kartor/A 64196-2023 karta.png", "A 64196-2023")</f>
        <v/>
      </c>
      <c r="Y32">
        <f>HYPERLINK("https://klasma.github.io/Logging_0192/kartor_geotiff/A 64196-2023 georefererad karta.tif", "A 64196-2023")</f>
        <v/>
      </c>
      <c r="AA32">
        <f>HYPERLINK("https://klasma.github.io/Logging_0192/klagomål/A 64196-2023 FSC-klagomål.docx", "A 64196-2023")</f>
        <v/>
      </c>
      <c r="AB32">
        <f>HYPERLINK("https://klasma.github.io/Logging_0192/klagomålsmail/A 64196-2023 FSC-klagomål mail.docx", "A 64196-2023")</f>
        <v/>
      </c>
      <c r="AC32">
        <f>HYPERLINK("https://klasma.github.io/Logging_0192/tillsyn/A 64196-2023 tillsynsbegäran.docx", "A 64196-2023")</f>
        <v/>
      </c>
      <c r="AD32">
        <f>HYPERLINK("https://klasma.github.io/Logging_0192/tillsynsmail/A 64196-2023 tillsynsbegäran mail.docx", "A 64196-2023")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46248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46248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32074-2023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46248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13.1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Grå kantarell</t>
        </is>
      </c>
      <c r="W35">
        <f>HYPERLINK("https://klasma.github.io/Logging_0192/artfynd/A 32074-2023 artfynd.xlsx", "A 32074-2023")</f>
        <v/>
      </c>
      <c r="X35">
        <f>HYPERLINK("https://klasma.github.io/Logging_0192/kartor/A 32074-2023 karta.png", "A 32074-2023")</f>
        <v/>
      </c>
      <c r="Y35">
        <f>HYPERLINK("https://klasma.github.io/Logging_0192/kartor_geotiff/A 32074-2023 georefererad karta.tif", "A 32074-2023")</f>
        <v/>
      </c>
      <c r="AA35">
        <f>HYPERLINK("https://klasma.github.io/Logging_0192/klagomål/A 32074-2023 FSC-klagomål.docx", "A 32074-2023")</f>
        <v/>
      </c>
      <c r="AB35">
        <f>HYPERLINK("https://klasma.github.io/Logging_0192/klagomålsmail/A 32074-2023 FSC-klagomål mail.docx", "A 32074-2023")</f>
        <v/>
      </c>
      <c r="AC35">
        <f>HYPERLINK("https://klasma.github.io/Logging_0192/tillsyn/A 32074-2023 tillsynsbegäran.docx", "A 32074-2023")</f>
        <v/>
      </c>
      <c r="AD35">
        <f>HYPERLINK("https://klasma.github.io/Logging_0192/tillsynsmail/A 32074-2023 tillsynsbegäran mail.docx", "A 32074-2023")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46248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46248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46248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46248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46248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46248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46248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46248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46248</v>
      </c>
      <c r="F44" t="inlineStr">
        <is>
          <t>STOCKHOLMS LÄN</t>
        </is>
      </c>
      <c r="G44" t="inlineStr">
        <is>
          <t>NYNÄSHAMN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46248</v>
      </c>
      <c r="F45" t="inlineStr">
        <is>
          <t>STOCKHOLMS LÄN</t>
        </is>
      </c>
      <c r="G45" t="inlineStr">
        <is>
          <t>NYNÄSHAMN</t>
        </is>
      </c>
      <c r="H45" t="inlineStr">
        <is>
          <t>Övriga statliga verk och myndigheter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45747</v>
      </c>
      <c r="E46" s="1" t="n">
        <v>46248</v>
      </c>
      <c r="F46" t="inlineStr">
        <is>
          <t>STOCKHOLMS LÄN</t>
        </is>
      </c>
      <c r="G46" t="inlineStr">
        <is>
          <t>NYNÄSHAMN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46248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26190-2022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44735</v>
      </c>
      <c r="E48" s="1" t="n">
        <v>46248</v>
      </c>
      <c r="F48" t="inlineStr">
        <is>
          <t>STOCKHOLMS LÄN</t>
        </is>
      </c>
      <c r="G48" t="inlineStr">
        <is>
          <t>NYNÄSHAMN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45149</v>
      </c>
      <c r="E49" s="1" t="n">
        <v>46248</v>
      </c>
      <c r="F49" t="inlineStr">
        <is>
          <t>STOCKHOLMS LÄN</t>
        </is>
      </c>
      <c r="G49" t="inlineStr">
        <is>
          <t>NYNÄSHAMN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45400</v>
      </c>
      <c r="E50" s="1" t="n">
        <v>46248</v>
      </c>
      <c r="F50" t="inlineStr">
        <is>
          <t>STOCKHOLMS LÄN</t>
        </is>
      </c>
      <c r="G50" t="inlineStr">
        <is>
          <t>NYNÄSHAMN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27748-2023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46248</v>
      </c>
      <c r="F51" t="inlineStr">
        <is>
          <t>STOCKHOLMS LÄN</t>
        </is>
      </c>
      <c r="G51" t="inlineStr">
        <is>
          <t>NYNÄSHAMN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45239</v>
      </c>
      <c r="E52" s="1" t="n">
        <v>46248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45344</v>
      </c>
      <c r="E53" s="1" t="n">
        <v>46248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46248</v>
      </c>
      <c r="F54" t="inlineStr">
        <is>
          <t>STOCKHOLMS LÄN</t>
        </is>
      </c>
      <c r="G54" t="inlineStr">
        <is>
          <t>NYNÄSHAMN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46248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44602</v>
      </c>
      <c r="E56" s="1" t="n">
        <v>46248</v>
      </c>
      <c r="F56" t="inlineStr">
        <is>
          <t>STOCKHOLMS LÄN</t>
        </is>
      </c>
      <c r="G56" t="inlineStr">
        <is>
          <t>NYNÄSHAMN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46248</v>
      </c>
      <c r="F57" t="inlineStr">
        <is>
          <t>STOCKHOLMS LÄN</t>
        </is>
      </c>
      <c r="G57" t="inlineStr">
        <is>
          <t>NYNÄSHAMN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37491-2022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46248</v>
      </c>
      <c r="F58" t="inlineStr">
        <is>
          <t>STOCKHOLMS LÄN</t>
        </is>
      </c>
      <c r="G58" t="inlineStr">
        <is>
          <t>NYNÄSHAMN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46248</v>
      </c>
      <c r="F59" t="inlineStr">
        <is>
          <t>STOCKHOLMS LÄN</t>
        </is>
      </c>
      <c r="G59" t="inlineStr">
        <is>
          <t>NYNÄSHAMN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45139</v>
      </c>
      <c r="E60" s="1" t="n">
        <v>46248</v>
      </c>
      <c r="F60" t="inlineStr">
        <is>
          <t>STOCKHOLMS LÄN</t>
        </is>
      </c>
      <c r="G60" t="inlineStr">
        <is>
          <t>NYNÄSHAMN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64411-2023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46248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45140</v>
      </c>
      <c r="E62" s="1" t="n">
        <v>46248</v>
      </c>
      <c r="F62" t="inlineStr">
        <is>
          <t>STOCKHOLMS LÄN</t>
        </is>
      </c>
      <c r="G62" t="inlineStr">
        <is>
          <t>NYNÄSHAMN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46248</v>
      </c>
      <c r="F63" t="inlineStr">
        <is>
          <t>STOCKHOLMS LÄN</t>
        </is>
      </c>
      <c r="G63" t="inlineStr">
        <is>
          <t>NYNÄSHAMN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46248</v>
      </c>
      <c r="F64" t="inlineStr">
        <is>
          <t>STOCKHOLMS LÄN</t>
        </is>
      </c>
      <c r="G64" t="inlineStr">
        <is>
          <t>NYNÄSHAMN</t>
        </is>
      </c>
      <c r="I64" t="n">
        <v>12.3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46248</v>
      </c>
      <c r="F65" t="inlineStr">
        <is>
          <t>STOCKHOLMS LÄN</t>
        </is>
      </c>
      <c r="G65" t="inlineStr">
        <is>
          <t>NYNÄSHAMN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46248</v>
      </c>
      <c r="F66" t="inlineStr">
        <is>
          <t>STOCKHOLMS LÄN</t>
        </is>
      </c>
      <c r="G66" t="inlineStr">
        <is>
          <t>NYNÄSHAMN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46248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46248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46248</v>
      </c>
      <c r="F69" t="inlineStr">
        <is>
          <t>STOCKHOLMS LÄN</t>
        </is>
      </c>
      <c r="G69" t="inlineStr">
        <is>
          <t>NYNÄSHAMN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46248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41767-2024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45561</v>
      </c>
      <c r="E71" s="1" t="n">
        <v>46248</v>
      </c>
      <c r="F71" t="inlineStr">
        <is>
          <t>STOCKHOLMS LÄN</t>
        </is>
      </c>
      <c r="G71" t="inlineStr">
        <is>
          <t>NYNÄSHAMN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46248</v>
      </c>
      <c r="F72" t="inlineStr">
        <is>
          <t>STOCKHOLMS LÄN</t>
        </is>
      </c>
      <c r="G72" t="inlineStr">
        <is>
          <t>NYNÄSHAMN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45196</v>
      </c>
      <c r="E73" s="1" t="n">
        <v>46248</v>
      </c>
      <c r="F73" t="inlineStr">
        <is>
          <t>STOCKHOLMS LÄN</t>
        </is>
      </c>
      <c r="G73" t="inlineStr">
        <is>
          <t>NYNÄSHAMN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63931-2021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46248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44941</v>
      </c>
      <c r="E75" s="1" t="n">
        <v>46248</v>
      </c>
      <c r="F75" t="inlineStr">
        <is>
          <t>STOCKHOLMS LÄN</t>
        </is>
      </c>
      <c r="G75" t="inlineStr">
        <is>
          <t>NYNÄSHAMN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46248</v>
      </c>
      <c r="F76" t="inlineStr">
        <is>
          <t>STOCKHOLMS LÄN</t>
        </is>
      </c>
      <c r="G76" t="inlineStr">
        <is>
          <t>NYNÄSHAMN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46248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46248</v>
      </c>
      <c r="F78" t="inlineStr">
        <is>
          <t>STOCKHOLMS LÄN</t>
        </is>
      </c>
      <c r="G78" t="inlineStr">
        <is>
          <t>NYNÄSHAMN</t>
        </is>
      </c>
      <c r="H78" t="inlineStr">
        <is>
          <t>Kyrkan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46248</v>
      </c>
      <c r="F79" t="inlineStr">
        <is>
          <t>STOCKHOLMS LÄN</t>
        </is>
      </c>
      <c r="G79" t="inlineStr">
        <is>
          <t>NYNÄSHAMN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25175-2023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45086</v>
      </c>
      <c r="E80" s="1" t="n">
        <v>46248</v>
      </c>
      <c r="F80" t="inlineStr">
        <is>
          <t>STOCKHOLMS LÄN</t>
        </is>
      </c>
      <c r="G80" t="inlineStr">
        <is>
          <t>NYNÄSHAMN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45196</v>
      </c>
      <c r="E81" s="1" t="n">
        <v>46248</v>
      </c>
      <c r="F81" t="inlineStr">
        <is>
          <t>STOCKHOLMS LÄN</t>
        </is>
      </c>
      <c r="G81" t="inlineStr">
        <is>
          <t>NYNÄSHAMN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46248</v>
      </c>
      <c r="F82" t="inlineStr">
        <is>
          <t>STOCKHOLMS LÄN</t>
        </is>
      </c>
      <c r="G82" t="inlineStr">
        <is>
          <t>NYNÄSHAMN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63463-2023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45274</v>
      </c>
      <c r="E83" s="1" t="n">
        <v>46248</v>
      </c>
      <c r="F83" t="inlineStr">
        <is>
          <t>STOCKHOLMS LÄN</t>
        </is>
      </c>
      <c r="G83" t="inlineStr">
        <is>
          <t>NYNÄSHAMN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46248</v>
      </c>
      <c r="F84" t="inlineStr">
        <is>
          <t>STOCKHOLMS LÄN</t>
        </is>
      </c>
      <c r="G84" t="inlineStr">
        <is>
          <t>NYNÄSHAMN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46248</v>
      </c>
      <c r="F85" t="inlineStr">
        <is>
          <t>STOCKHOLMS LÄN</t>
        </is>
      </c>
      <c r="G85" t="inlineStr">
        <is>
          <t>NYNÄSHAMN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46248</v>
      </c>
      <c r="F86" t="inlineStr">
        <is>
          <t>STOCKHOLMS LÄN</t>
        </is>
      </c>
      <c r="G86" t="inlineStr">
        <is>
          <t>NYNÄSHAMN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16793-2023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45028</v>
      </c>
      <c r="E87" s="1" t="n">
        <v>46248</v>
      </c>
      <c r="F87" t="inlineStr">
        <is>
          <t>STOCKHOLMS LÄN</t>
        </is>
      </c>
      <c r="G87" t="inlineStr">
        <is>
          <t>NYNÄSHAMN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46248</v>
      </c>
      <c r="F88" t="inlineStr">
        <is>
          <t>STOCKHOLMS LÄN</t>
        </is>
      </c>
      <c r="G88" t="inlineStr">
        <is>
          <t>NYNÄSHAMN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46248</v>
      </c>
      <c r="F89" t="inlineStr">
        <is>
          <t>STOCKHOLMS LÄN</t>
        </is>
      </c>
      <c r="G89" t="inlineStr">
        <is>
          <t>NYNÄSHAMN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46248</v>
      </c>
      <c r="F90" t="inlineStr">
        <is>
          <t>STOCKHOLMS LÄN</t>
        </is>
      </c>
      <c r="G90" t="inlineStr">
        <is>
          <t>NYNÄSHAMN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45520</v>
      </c>
      <c r="E91" s="1" t="n">
        <v>46248</v>
      </c>
      <c r="F91" t="inlineStr">
        <is>
          <t>STOCKHOLMS LÄN</t>
        </is>
      </c>
      <c r="G91" t="inlineStr">
        <is>
          <t>NYNÄSHAMN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44979</v>
      </c>
      <c r="E92" s="1" t="n">
        <v>46248</v>
      </c>
      <c r="F92" t="inlineStr">
        <is>
          <t>STOCKHOLMS LÄN</t>
        </is>
      </c>
      <c r="G92" t="inlineStr">
        <is>
          <t>NYNÄSHAMN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44574</v>
      </c>
      <c r="E93" s="1" t="n">
        <v>46248</v>
      </c>
      <c r="F93" t="inlineStr">
        <is>
          <t>STOCKHOLMS LÄN</t>
        </is>
      </c>
      <c r="G93" t="inlineStr">
        <is>
          <t>NYNÄSHAMN</t>
        </is>
      </c>
      <c r="H93" t="inlineStr">
        <is>
          <t>Kommuner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46248</v>
      </c>
      <c r="F94" t="inlineStr">
        <is>
          <t>STOCKHOLMS LÄN</t>
        </is>
      </c>
      <c r="G94" t="inlineStr">
        <is>
          <t>NYNÄSHAMN</t>
        </is>
      </c>
      <c r="H94" t="inlineStr">
        <is>
          <t>Övriga statliga verk och myndigheter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46248</v>
      </c>
      <c r="F95" t="inlineStr">
        <is>
          <t>STOCKHOLMS LÄN</t>
        </is>
      </c>
      <c r="G95" t="inlineStr">
        <is>
          <t>NYNÄSHAMN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45664</v>
      </c>
      <c r="E96" s="1" t="n">
        <v>46248</v>
      </c>
      <c r="F96" t="inlineStr">
        <is>
          <t>STOCKHOLMS LÄN</t>
        </is>
      </c>
      <c r="G96" t="inlineStr">
        <is>
          <t>NYNÄSHAMN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46248</v>
      </c>
      <c r="F97" t="inlineStr">
        <is>
          <t>STOCKHOLMS LÄN</t>
        </is>
      </c>
      <c r="G97" t="inlineStr">
        <is>
          <t>NYNÄSHAMN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46248</v>
      </c>
      <c r="F98" t="inlineStr">
        <is>
          <t>STOCKHOLMS LÄN</t>
        </is>
      </c>
      <c r="G98" t="inlineStr">
        <is>
          <t>NYNÄSHAMN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46248</v>
      </c>
      <c r="F99" t="inlineStr">
        <is>
          <t>STOCKHOLMS LÄN</t>
        </is>
      </c>
      <c r="G99" t="inlineStr">
        <is>
          <t>NYNÄSHAMN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46248</v>
      </c>
      <c r="F100" t="inlineStr">
        <is>
          <t>STOCKHOLMS LÄN</t>
        </is>
      </c>
      <c r="G100" t="inlineStr">
        <is>
          <t>NYNÄSHAMN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45869</v>
      </c>
      <c r="E101" s="1" t="n">
        <v>46248</v>
      </c>
      <c r="F101" t="inlineStr">
        <is>
          <t>STOCKHOLMS LÄN</t>
        </is>
      </c>
      <c r="G101" t="inlineStr">
        <is>
          <t>NYNÄSHAMN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36468-2025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46248</v>
      </c>
      <c r="F102" t="inlineStr">
        <is>
          <t>STOCKHOLMS LÄN</t>
        </is>
      </c>
      <c r="G102" t="inlineStr">
        <is>
          <t>NYNÄSHAMN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46248</v>
      </c>
      <c r="F103" t="inlineStr">
        <is>
          <t>STOCKHOLMS LÄN</t>
        </is>
      </c>
      <c r="G103" t="inlineStr">
        <is>
          <t>NYNÄSHAMN</t>
        </is>
      </c>
      <c r="H103" t="inlineStr">
        <is>
          <t>Kommuner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45779</v>
      </c>
      <c r="E104" s="1" t="n">
        <v>46248</v>
      </c>
      <c r="F104" t="inlineStr">
        <is>
          <t>STOCKHOLMS LÄN</t>
        </is>
      </c>
      <c r="G104" t="inlineStr">
        <is>
          <t>NYNÄSHAMN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46248</v>
      </c>
      <c r="F105" t="inlineStr">
        <is>
          <t>STOCKHOLMS LÄN</t>
        </is>
      </c>
      <c r="G105" t="inlineStr">
        <is>
          <t>NYNÄSHAMN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45789</v>
      </c>
      <c r="E106" s="1" t="n">
        <v>46248</v>
      </c>
      <c r="F106" t="inlineStr">
        <is>
          <t>STOCKHOLMS LÄN</t>
        </is>
      </c>
      <c r="G106" t="inlineStr">
        <is>
          <t>NYNÄSHAMN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45928</v>
      </c>
      <c r="E107" s="1" t="n">
        <v>46248</v>
      </c>
      <c r="F107" t="inlineStr">
        <is>
          <t>STOCKHOLMS LÄN</t>
        </is>
      </c>
      <c r="G107" t="inlineStr">
        <is>
          <t>NYNÄSHAMN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48456-2025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45935</v>
      </c>
      <c r="E108" s="1" t="n">
        <v>46248</v>
      </c>
      <c r="F108" t="inlineStr">
        <is>
          <t>STOCKHOLMS LÄN</t>
        </is>
      </c>
      <c r="G108" t="inlineStr">
        <is>
          <t>NYNÄSHAMN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30476-2026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46210</v>
      </c>
      <c r="E109" s="1" t="n">
        <v>46248</v>
      </c>
      <c r="F109" t="inlineStr">
        <is>
          <t>STOCKHOLMS LÄN</t>
        </is>
      </c>
      <c r="G109" t="inlineStr">
        <is>
          <t>NYNÄSHAMN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46248</v>
      </c>
      <c r="F110" t="inlineStr">
        <is>
          <t>STOCKHOLMS LÄN</t>
        </is>
      </c>
      <c r="G110" t="inlineStr">
        <is>
          <t>NYNÄSHAMN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51954-2025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45952</v>
      </c>
      <c r="E111" s="1" t="n">
        <v>46248</v>
      </c>
      <c r="F111" t="inlineStr">
        <is>
          <t>STOCKHOLMS LÄN</t>
        </is>
      </c>
      <c r="G111" t="inlineStr">
        <is>
          <t>NYNÄSHAMN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46248</v>
      </c>
      <c r="F112" t="inlineStr">
        <is>
          <t>STOCKHOLMS LÄN</t>
        </is>
      </c>
      <c r="G112" t="inlineStr">
        <is>
          <t>NYNÄSHAMN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46248</v>
      </c>
      <c r="F113" t="inlineStr">
        <is>
          <t>STOCKHOLMS LÄN</t>
        </is>
      </c>
      <c r="G113" t="inlineStr">
        <is>
          <t>NYNÄSHAMN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46248</v>
      </c>
      <c r="F114" t="inlineStr">
        <is>
          <t>STOCKHOLMS LÄN</t>
        </is>
      </c>
      <c r="G114" t="inlineStr">
        <is>
          <t>NYNÄSHAMN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46237</v>
      </c>
      <c r="E115" s="1" t="n">
        <v>46248</v>
      </c>
      <c r="F115" t="inlineStr">
        <is>
          <t>STOCKHOLMS LÄN</t>
        </is>
      </c>
      <c r="G115" t="inlineStr">
        <is>
          <t>NYNÄSHAMN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46237</v>
      </c>
      <c r="E116" s="1" t="n">
        <v>46248</v>
      </c>
      <c r="F116" t="inlineStr">
        <is>
          <t>STOCKHOLMS LÄN</t>
        </is>
      </c>
      <c r="G116" t="inlineStr">
        <is>
          <t>NYNÄSHAMN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46248</v>
      </c>
      <c r="F117" t="inlineStr">
        <is>
          <t>STOCKHOLMS LÄN</t>
        </is>
      </c>
      <c r="G117" t="inlineStr">
        <is>
          <t>NYNÄSHAMN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46248</v>
      </c>
      <c r="F118" t="inlineStr">
        <is>
          <t>STOCKHOLMS LÄN</t>
        </is>
      </c>
      <c r="G118" t="inlineStr">
        <is>
          <t>NYNÄSHAMN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46248</v>
      </c>
      <c r="F119" t="inlineStr">
        <is>
          <t>STOCKHOLMS LÄN</t>
        </is>
      </c>
      <c r="G119" t="inlineStr">
        <is>
          <t>NYNÄSHAMN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46248</v>
      </c>
      <c r="F120" t="inlineStr">
        <is>
          <t>STOCKHOLMS LÄN</t>
        </is>
      </c>
      <c r="G120" t="inlineStr">
        <is>
          <t>NYNÄSHAMN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46248</v>
      </c>
      <c r="F121" t="inlineStr">
        <is>
          <t>STOCKHOLMS LÄN</t>
        </is>
      </c>
      <c r="G121" t="inlineStr">
        <is>
          <t>NYNÄSHAMN</t>
        </is>
      </c>
      <c r="H121" t="inlineStr">
        <is>
          <t>Kyrkan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12032-2026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46085</v>
      </c>
      <c r="E122" s="1" t="n">
        <v>46248</v>
      </c>
      <c r="F122" t="inlineStr">
        <is>
          <t>STOCKHOLMS LÄN</t>
        </is>
      </c>
      <c r="G122" t="inlineStr">
        <is>
          <t>NYNÄSHAMN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45762</v>
      </c>
      <c r="E123" s="1" t="n">
        <v>46248</v>
      </c>
      <c r="F123" t="inlineStr">
        <is>
          <t>STOCKHOLMS LÄN</t>
        </is>
      </c>
      <c r="G123" t="inlineStr">
        <is>
          <t>NYNÄSHAMN</t>
        </is>
      </c>
      <c r="I123" t="n">
        <v>11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60977-2022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44908</v>
      </c>
      <c r="E124" s="1" t="n">
        <v>46248</v>
      </c>
      <c r="F124" t="inlineStr">
        <is>
          <t>STOCKHOLMS LÄN</t>
        </is>
      </c>
      <c r="G124" t="inlineStr">
        <is>
          <t>NYNÄSHAMN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2697-2024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45482</v>
      </c>
      <c r="E125" s="1" t="n">
        <v>46248</v>
      </c>
      <c r="F125" t="inlineStr">
        <is>
          <t>STOCKHOLMS LÄN</t>
        </is>
      </c>
      <c r="G125" t="inlineStr">
        <is>
          <t>NYNÄSHAMN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4477-2022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44787</v>
      </c>
      <c r="E126" s="1" t="n">
        <v>46248</v>
      </c>
      <c r="F126" t="inlineStr">
        <is>
          <t>STOCKHOLMS LÄN</t>
        </is>
      </c>
      <c r="G126" t="inlineStr">
        <is>
          <t>NYNÄSHAMN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>
      <c r="A127" t="inlineStr">
        <is>
          <t>S 1845-2026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46198</v>
      </c>
      <c r="E127" s="1" t="n">
        <v>46248</v>
      </c>
      <c r="F127" t="inlineStr">
        <is>
          <t>STOCKHOLMS LÄN</t>
        </is>
      </c>
      <c r="G127" t="inlineStr">
        <is>
          <t>NYNÄSHAMN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2026-08-14T01:51:41Z</dcterms:created>
  <dcterms:modified xmlns:dcterms="http://purl.org/dc/terms/" xmlns:xsi="http://www.w3.org/2001/XMLSchema-instance" xsi:type="dcterms:W3CDTF">2026-08-14T01:51:41Z</dcterms:modified>
</cp:coreProperties>
</file>