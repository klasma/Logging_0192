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46261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46261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46261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46261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46261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46261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46261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46261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46261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46261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46261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46261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46261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46261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46261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46261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12033-2026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46261</v>
      </c>
      <c r="F18" t="inlineStr">
        <is>
          <t>STOCKHOLMS LÄN</t>
        </is>
      </c>
      <c r="G18" t="inlineStr">
        <is>
          <t>NYNÄSHAMN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Fjällvråk
Havsörn</t>
        </is>
      </c>
      <c r="W18">
        <f>HYPERLINK("https://klasma.github.io/Logging_0192/artfynd/A 12033-2026 artfynd.xlsx", "A 12033-2026")</f>
        <v/>
      </c>
      <c r="X18">
        <f>HYPERLINK("https://klasma.github.io/Logging_0192/kartor/A 12033-2026 karta.png", "A 12033-2026")</f>
        <v/>
      </c>
      <c r="Y18">
        <f>HYPERLINK("https://klasma.github.io/Logging_0192/kartor_geotiff/A 12033-2026 georefererad karta.tif", "A 12033-2026")</f>
        <v/>
      </c>
      <c r="AA18">
        <f>HYPERLINK("https://klasma.github.io/Logging_0192/klagomål/A 12033-2026 FSC-klagomål.docx", "A 12033-2026")</f>
        <v/>
      </c>
      <c r="AB18">
        <f>HYPERLINK("https://klasma.github.io/Logging_0192/klagomålsmail/A 12033-2026 FSC-klagomål mail.docx", "A 12033-2026")</f>
        <v/>
      </c>
      <c r="AC18">
        <f>HYPERLINK("https://klasma.github.io/Logging_0192/tillsyn/A 12033-2026 tillsynsbegäran.docx", "A 12033-2026")</f>
        <v/>
      </c>
      <c r="AD18">
        <f>HYPERLINK("https://klasma.github.io/Logging_0192/tillsynsmail/A 12033-2026 tillsynsbegäran mail.docx", "A 12033-2026")</f>
        <v/>
      </c>
      <c r="AE18">
        <f>HYPERLINK("https://klasma.github.io/Logging_0192/fåglar/A 12033-2026 prioriterade fågelarter.docx", "A 12033-2026")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46261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46261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46261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46261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46261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46261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46261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46261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46261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23906-2026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46261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7.9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HYPERLINK("https://klasma.github.io/Logging_0192/artfynd/A 23906-2026 artfynd.xlsx", "A 23906-2026")</f>
        <v/>
      </c>
      <c r="X28">
        <f>HYPERLINK("https://klasma.github.io/Logging_0192/kartor/A 23906-2026 karta.png", "A 23906-2026")</f>
        <v/>
      </c>
      <c r="Y28">
        <f>HYPERLINK("https://klasma.github.io/Logging_0192/kartor_geotiff/A 23906-2026 georefererad karta.tif", "A 23906-2026")</f>
        <v/>
      </c>
      <c r="AA28">
        <f>HYPERLINK("https://klasma.github.io/Logging_0192/klagomål/A 23906-2026 FSC-klagomål.docx", "A 23906-2026")</f>
        <v/>
      </c>
      <c r="AB28">
        <f>HYPERLINK("https://klasma.github.io/Logging_0192/klagomålsmail/A 23906-2026 FSC-klagomål mail.docx", "A 23906-2026")</f>
        <v/>
      </c>
      <c r="AC28">
        <f>HYPERLINK("https://klasma.github.io/Logging_0192/tillsyn/A 23906-2026 tillsynsbegäran.docx", "A 23906-2026")</f>
        <v/>
      </c>
      <c r="AD28">
        <f>HYPERLINK("https://klasma.github.io/Logging_0192/tillsynsmail/A 23906-2026 tillsynsbegäran mail.docx", "A 23906-2026")</f>
        <v/>
      </c>
    </row>
    <row r="29" ht="15" customHeight="1">
      <c r="A29" t="inlineStr">
        <is>
          <t>A 64196-2023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46261</v>
      </c>
      <c r="F29" t="inlineStr">
        <is>
          <t>STOCKHOLMS LÄN</t>
        </is>
      </c>
      <c r="G29" t="inlineStr">
        <is>
          <t>NYNÄSHAMN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HYPERLINK("https://klasma.github.io/Logging_0192/artfynd/A 64196-2023 artfynd.xlsx", "A 64196-2023")</f>
        <v/>
      </c>
      <c r="X29">
        <f>HYPERLINK("https://klasma.github.io/Logging_0192/kartor/A 64196-2023 karta.png", "A 64196-2023")</f>
        <v/>
      </c>
      <c r="Y29">
        <f>HYPERLINK("https://klasma.github.io/Logging_0192/kartor_geotiff/A 64196-2023 georefererad karta.tif", "A 64196-2023")</f>
        <v/>
      </c>
      <c r="AA29">
        <f>HYPERLINK("https://klasma.github.io/Logging_0192/klagomål/A 64196-2023 FSC-klagomål.docx", "A 64196-2023")</f>
        <v/>
      </c>
      <c r="AB29">
        <f>HYPERLINK("https://klasma.github.io/Logging_0192/klagomålsmail/A 64196-2023 FSC-klagomål mail.docx", "A 64196-2023")</f>
        <v/>
      </c>
      <c r="AC29">
        <f>HYPERLINK("https://klasma.github.io/Logging_0192/tillsyn/A 64196-2023 tillsynsbegäran.docx", "A 64196-2023")</f>
        <v/>
      </c>
      <c r="AD29">
        <f>HYPERLINK("https://klasma.github.io/Logging_0192/tillsynsmail/A 64196-2023 tillsynsbegäran mail.docx", "A 64196-2023")</f>
        <v/>
      </c>
    </row>
    <row r="30" ht="15" customHeight="1">
      <c r="A30" t="inlineStr">
        <is>
          <t>A 31842-2023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46261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3.8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Grön sköldmossa</t>
        </is>
      </c>
      <c r="W30">
        <f>HYPERLINK("https://klasma.github.io/Logging_0192/artfynd/A 31842-2023 artfynd.xlsx", "A 31842-2023")</f>
        <v/>
      </c>
      <c r="X30">
        <f>HYPERLINK("https://klasma.github.io/Logging_0192/kartor/A 31842-2023 karta.png", "A 31842-2023")</f>
        <v/>
      </c>
      <c r="Y30">
        <f>HYPERLINK("https://klasma.github.io/Logging_0192/kartor_geotiff/A 31842-2023 georefererad karta.tif", "A 31842-2023")</f>
        <v/>
      </c>
      <c r="AA30">
        <f>HYPERLINK("https://klasma.github.io/Logging_0192/klagomål/A 31842-2023 FSC-klagomål.docx", "A 31842-2023")</f>
        <v/>
      </c>
      <c r="AB30">
        <f>HYPERLINK("https://klasma.github.io/Logging_0192/klagomålsmail/A 31842-2023 FSC-klagomål mail.docx", "A 31842-2023")</f>
        <v/>
      </c>
      <c r="AC30">
        <f>HYPERLINK("https://klasma.github.io/Logging_0192/tillsyn/A 31842-2023 tillsynsbegäran.docx", "A 31842-2023")</f>
        <v/>
      </c>
      <c r="AD30">
        <f>HYPERLINK("https://klasma.github.io/Logging_0192/tillsynsmail/A 31842-2023 tillsynsbegäran mail.docx", "A 31842-2023")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46261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40895-2024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46261</v>
      </c>
      <c r="F32" t="inlineStr">
        <is>
          <t>STOCKHOLMS LÄN</t>
        </is>
      </c>
      <c r="G32" t="inlineStr">
        <is>
          <t>NYNÄSHAMN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Stubbspretmossa</t>
        </is>
      </c>
      <c r="W32">
        <f>HYPERLINK("https://klasma.github.io/Logging_0192/artfynd/A 40895-2024 artfynd.xlsx", "A 40895-2024")</f>
        <v/>
      </c>
      <c r="X32">
        <f>HYPERLINK("https://klasma.github.io/Logging_0192/kartor/A 40895-2024 karta.png", "A 40895-2024")</f>
        <v/>
      </c>
      <c r="Y32">
        <f>HYPERLINK("https://klasma.github.io/Logging_0192/kartor_geotiff/A 40895-2024 georefererad karta.tif", "A 40895-2024")</f>
        <v/>
      </c>
      <c r="AA32">
        <f>HYPERLINK("https://klasma.github.io/Logging_0192/klagomål/A 40895-2024 FSC-klagomål.docx", "A 40895-2024")</f>
        <v/>
      </c>
      <c r="AB32">
        <f>HYPERLINK("https://klasma.github.io/Logging_0192/klagomålsmail/A 40895-2024 FSC-klagomål mail.docx", "A 40895-2024")</f>
        <v/>
      </c>
      <c r="AC32">
        <f>HYPERLINK("https://klasma.github.io/Logging_0192/tillsyn/A 40895-2024 tillsynsbegäran.docx", "A 40895-2024")</f>
        <v/>
      </c>
      <c r="AD32">
        <f>HYPERLINK("https://klasma.github.io/Logging_0192/tillsynsmail/A 40895-2024 tillsynsbegäran mail.docx", "A 40895-2024")</f>
        <v/>
      </c>
    </row>
    <row r="33" ht="15" customHeight="1">
      <c r="A33" t="inlineStr">
        <is>
          <t>A 32011-2023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46261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Fiskgjuse</t>
        </is>
      </c>
      <c r="W33">
        <f>HYPERLINK("https://klasma.github.io/Logging_0192/artfynd/A 32011-2023 artfynd.xlsx", "A 32011-2023")</f>
        <v/>
      </c>
      <c r="X33">
        <f>HYPERLINK("https://klasma.github.io/Logging_0192/kartor/A 32011-2023 karta.png", "A 32011-2023")</f>
        <v/>
      </c>
      <c r="Y33">
        <f>HYPERLINK("https://klasma.github.io/Logging_0192/kartor_geotiff/A 32011-2023 georefererad karta.tif", "A 32011-2023")</f>
        <v/>
      </c>
      <c r="AA33">
        <f>HYPERLINK("https://klasma.github.io/Logging_0192/klagomål/A 32011-2023 FSC-klagomål.docx", "A 32011-2023")</f>
        <v/>
      </c>
      <c r="AB33">
        <f>HYPERLINK("https://klasma.github.io/Logging_0192/klagomålsmail/A 32011-2023 FSC-klagomål mail.docx", "A 32011-2023")</f>
        <v/>
      </c>
      <c r="AC33">
        <f>HYPERLINK("https://klasma.github.io/Logging_0192/tillsyn/A 32011-2023 tillsynsbegäran.docx", "A 32011-2023")</f>
        <v/>
      </c>
      <c r="AD33">
        <f>HYPERLINK("https://klasma.github.io/Logging_0192/tillsynsmail/A 32011-2023 tillsynsbegäran mail.docx", "A 32011-2023")</f>
        <v/>
      </c>
      <c r="AE33">
        <f>HYPERLINK("https://klasma.github.io/Logging_0192/fåglar/A 32011-2023 prioriterade fågelarter.docx", "A 32011-2023")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46261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46261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46261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46261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46261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46261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46261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46261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46261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46261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46261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44809</v>
      </c>
      <c r="E45" s="1" t="n">
        <v>46261</v>
      </c>
      <c r="F45" t="inlineStr">
        <is>
          <t>STOCKHOLMS LÄN</t>
        </is>
      </c>
      <c r="G45" t="inlineStr">
        <is>
          <t>NYNÄSHAMN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45419</v>
      </c>
      <c r="E46" s="1" t="n">
        <v>46261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46261</v>
      </c>
      <c r="F47" t="inlineStr">
        <is>
          <t>STOCKHOLMS LÄN</t>
        </is>
      </c>
      <c r="G47" t="inlineStr">
        <is>
          <t>NYNÄSHAMN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46261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46261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46261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44957</v>
      </c>
      <c r="E51" s="1" t="n">
        <v>46261</v>
      </c>
      <c r="F51" t="inlineStr">
        <is>
          <t>STOCKHOLMS LÄN</t>
        </is>
      </c>
      <c r="G51" t="inlineStr">
        <is>
          <t>NYNÄSHAMN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46052</v>
      </c>
      <c r="E52" s="1" t="n">
        <v>46261</v>
      </c>
      <c r="F52" t="inlineStr">
        <is>
          <t>STOCKHOLMS LÄN</t>
        </is>
      </c>
      <c r="G52" t="inlineStr">
        <is>
          <t>NYNÄSHAMN</t>
        </is>
      </c>
      <c r="H52" t="inlineStr">
        <is>
          <t>Kyrkan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29811-2025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46261</v>
      </c>
      <c r="F53" t="inlineStr">
        <is>
          <t>STOCKHOLMS LÄN</t>
        </is>
      </c>
      <c r="G53" t="inlineStr">
        <is>
          <t>NYNÄSHAMN</t>
        </is>
      </c>
      <c r="H53" t="inlineStr">
        <is>
          <t>Övriga statliga verk och myndigheter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46261</v>
      </c>
      <c r="F54" t="inlineStr">
        <is>
          <t>STOCKHOLMS LÄN</t>
        </is>
      </c>
      <c r="G54" t="inlineStr">
        <is>
          <t>NYNÄSHAMN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13945-2025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45737</v>
      </c>
      <c r="E55" s="1" t="n">
        <v>46261</v>
      </c>
      <c r="F55" t="inlineStr">
        <is>
          <t>STOCKHOLMS LÄN</t>
        </is>
      </c>
      <c r="G55" t="inlineStr">
        <is>
          <t>NYNÄSHAMN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45928</v>
      </c>
      <c r="E56" s="1" t="n">
        <v>46261</v>
      </c>
      <c r="F56" t="inlineStr">
        <is>
          <t>STOCKHOLMS LÄN</t>
        </is>
      </c>
      <c r="G56" t="inlineStr">
        <is>
          <t>NYNÄSHAMN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46261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45935</v>
      </c>
      <c r="E58" s="1" t="n">
        <v>46261</v>
      </c>
      <c r="F58" t="inlineStr">
        <is>
          <t>STOCKHOLMS LÄN</t>
        </is>
      </c>
      <c r="G58" t="inlineStr">
        <is>
          <t>NYNÄSHAMN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44602</v>
      </c>
      <c r="E59" s="1" t="n">
        <v>46261</v>
      </c>
      <c r="F59" t="inlineStr">
        <is>
          <t>STOCKHOLMS LÄN</t>
        </is>
      </c>
      <c r="G59" t="inlineStr">
        <is>
          <t>NYNÄSHAMN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36468-2025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46261</v>
      </c>
      <c r="F60" t="inlineStr">
        <is>
          <t>STOCKHOLMS LÄN</t>
        </is>
      </c>
      <c r="G60" t="inlineStr">
        <is>
          <t>NYNÄSHAMN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36496-2025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45869</v>
      </c>
      <c r="E61" s="1" t="n">
        <v>46261</v>
      </c>
      <c r="F61" t="inlineStr">
        <is>
          <t>STOCKHOLMS LÄN</t>
        </is>
      </c>
      <c r="G61" t="inlineStr">
        <is>
          <t>NYNÄSHAMN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46261</v>
      </c>
      <c r="F62" t="inlineStr">
        <is>
          <t>STOCKHOLMS LÄN</t>
        </is>
      </c>
      <c r="G62" t="inlineStr">
        <is>
          <t>NYNÄSHAMN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51954-2025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45952</v>
      </c>
      <c r="E63" s="1" t="n">
        <v>46261</v>
      </c>
      <c r="F63" t="inlineStr">
        <is>
          <t>STOCKHOLMS LÄN</t>
        </is>
      </c>
      <c r="G63" t="inlineStr">
        <is>
          <t>NYNÄSHAMN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45762</v>
      </c>
      <c r="E64" s="1" t="n">
        <v>46261</v>
      </c>
      <c r="F64" t="inlineStr">
        <is>
          <t>STOCKHOLMS LÄN</t>
        </is>
      </c>
      <c r="G64" t="inlineStr">
        <is>
          <t>NYNÄSHAMN</t>
        </is>
      </c>
      <c r="I64" t="n">
        <v>11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56210-2025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46261</v>
      </c>
      <c r="F65" t="inlineStr">
        <is>
          <t>STOCKHOLMS LÄN</t>
        </is>
      </c>
      <c r="G65" t="inlineStr">
        <is>
          <t>NYNÄSHAMN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56385-2025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45974</v>
      </c>
      <c r="E66" s="1" t="n">
        <v>46261</v>
      </c>
      <c r="F66" t="inlineStr">
        <is>
          <t>STOCKHOLMS LÄN</t>
        </is>
      </c>
      <c r="G66" t="inlineStr">
        <is>
          <t>NYNÄSHAMN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60977-2022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44908</v>
      </c>
      <c r="E67" s="1" t="n">
        <v>46261</v>
      </c>
      <c r="F67" t="inlineStr">
        <is>
          <t>STOCKHOLMS LÄN</t>
        </is>
      </c>
      <c r="G67" t="inlineStr">
        <is>
          <t>NYNÄSHAMN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46261</v>
      </c>
      <c r="F68" t="inlineStr">
        <is>
          <t>STOCKHOLMS LÄN</t>
        </is>
      </c>
      <c r="G68" t="inlineStr">
        <is>
          <t>NYNÄSHAMN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25175-2023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45086</v>
      </c>
      <c r="E69" s="1" t="n">
        <v>46261</v>
      </c>
      <c r="F69" t="inlineStr">
        <is>
          <t>STOCKHOLMS LÄN</t>
        </is>
      </c>
      <c r="G69" t="inlineStr">
        <is>
          <t>NYNÄSHAMN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45139</v>
      </c>
      <c r="E70" s="1" t="n">
        <v>46261</v>
      </c>
      <c r="F70" t="inlineStr">
        <is>
          <t>STOCKHOLMS LÄN</t>
        </is>
      </c>
      <c r="G70" t="inlineStr">
        <is>
          <t>NYNÄSHAMN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46261</v>
      </c>
      <c r="F71" t="inlineStr">
        <is>
          <t>STOCKHOLMS LÄN</t>
        </is>
      </c>
      <c r="G71" t="inlineStr">
        <is>
          <t>NYNÄSHAMN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63931-2021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44509</v>
      </c>
      <c r="E72" s="1" t="n">
        <v>46261</v>
      </c>
      <c r="F72" t="inlineStr">
        <is>
          <t>STOCKHOLMS LÄN</t>
        </is>
      </c>
      <c r="G72" t="inlineStr">
        <is>
          <t>NYNÄSHAMN</t>
        </is>
      </c>
      <c r="H72" t="inlineStr">
        <is>
          <t>Kommuner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45457</v>
      </c>
      <c r="E73" s="1" t="n">
        <v>46261</v>
      </c>
      <c r="F73" t="inlineStr">
        <is>
          <t>STOCKHOLMS LÄN</t>
        </is>
      </c>
      <c r="G73" t="inlineStr">
        <is>
          <t>NYNÄSHAMN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52911-2024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46261</v>
      </c>
      <c r="F74" t="inlineStr">
        <is>
          <t>STOCKHOLMS LÄN</t>
        </is>
      </c>
      <c r="G74" t="inlineStr">
        <is>
          <t>NYNÄSHAMN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24595-2026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46170</v>
      </c>
      <c r="E75" s="1" t="n">
        <v>46261</v>
      </c>
      <c r="F75" t="inlineStr">
        <is>
          <t>STOCKHOLMS LÄN</t>
        </is>
      </c>
      <c r="G75" t="inlineStr">
        <is>
          <t>NYNÄSHAMN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47089-2023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45196</v>
      </c>
      <c r="E76" s="1" t="n">
        <v>46261</v>
      </c>
      <c r="F76" t="inlineStr">
        <is>
          <t>STOCKHOLMS LÄN</t>
        </is>
      </c>
      <c r="G76" t="inlineStr">
        <is>
          <t>NYNÄSHAMN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30910-2023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45113</v>
      </c>
      <c r="E77" s="1" t="n">
        <v>46261</v>
      </c>
      <c r="F77" t="inlineStr">
        <is>
          <t>STOCKHOLMS LÄN</t>
        </is>
      </c>
      <c r="G77" t="inlineStr">
        <is>
          <t>NYNÄSHAMN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46237</v>
      </c>
      <c r="E78" s="1" t="n">
        <v>46261</v>
      </c>
      <c r="F78" t="inlineStr">
        <is>
          <t>STOCKHOLMS LÄN</t>
        </is>
      </c>
      <c r="G78" t="inlineStr">
        <is>
          <t>NYNÄSHAMN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32305-2026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46237</v>
      </c>
      <c r="E79" s="1" t="n">
        <v>46261</v>
      </c>
      <c r="F79" t="inlineStr">
        <is>
          <t>STOCKHOLMS LÄN</t>
        </is>
      </c>
      <c r="G79" t="inlineStr">
        <is>
          <t>NYNÄSHAMN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46244</v>
      </c>
      <c r="E80" s="1" t="n">
        <v>46261</v>
      </c>
      <c r="F80" t="inlineStr">
        <is>
          <t>STOCKHOLMS LÄN</t>
        </is>
      </c>
      <c r="G80" t="inlineStr">
        <is>
          <t>NYNÄSHAMN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46245</v>
      </c>
      <c r="E81" s="1" t="n">
        <v>46261</v>
      </c>
      <c r="F81" t="inlineStr">
        <is>
          <t>STOCKHOLMS LÄN</t>
        </is>
      </c>
      <c r="G81" t="inlineStr">
        <is>
          <t>NYNÄSHAMN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34660-2023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45140</v>
      </c>
      <c r="E82" s="1" t="n">
        <v>46261</v>
      </c>
      <c r="F82" t="inlineStr">
        <is>
          <t>STOCKHOLMS LÄN</t>
        </is>
      </c>
      <c r="G82" t="inlineStr">
        <is>
          <t>NYNÄSHAMN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33063-2026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46245</v>
      </c>
      <c r="E83" s="1" t="n">
        <v>46261</v>
      </c>
      <c r="F83" t="inlineStr">
        <is>
          <t>STOCKHOLMS LÄN</t>
        </is>
      </c>
      <c r="G83" t="inlineStr">
        <is>
          <t>NYNÄSHAMN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33067-2026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46245</v>
      </c>
      <c r="E84" s="1" t="n">
        <v>46261</v>
      </c>
      <c r="F84" t="inlineStr">
        <is>
          <t>STOCKHOLMS LÄN</t>
        </is>
      </c>
      <c r="G84" t="inlineStr">
        <is>
          <t>NYNÄSHAMN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46261</v>
      </c>
      <c r="F85" t="inlineStr">
        <is>
          <t>STOCKHOLMS LÄN</t>
        </is>
      </c>
      <c r="G85" t="inlineStr">
        <is>
          <t>NYNÄSHAMN</t>
        </is>
      </c>
      <c r="H85" t="inlineStr">
        <is>
          <t>Kommuner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46261</v>
      </c>
      <c r="F86" t="inlineStr">
        <is>
          <t>STOCKHOLMS LÄN</t>
        </is>
      </c>
      <c r="G86" t="inlineStr">
        <is>
          <t>NYNÄSHAMN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12032-2026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46085</v>
      </c>
      <c r="E87" s="1" t="n">
        <v>46261</v>
      </c>
      <c r="F87" t="inlineStr">
        <is>
          <t>STOCKHOLMS LÄN</t>
        </is>
      </c>
      <c r="G87" t="inlineStr">
        <is>
          <t>NYNÄSHAMN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44942</v>
      </c>
      <c r="E88" s="1" t="n">
        <v>46261</v>
      </c>
      <c r="F88" t="inlineStr">
        <is>
          <t>STOCKHOLMS LÄN</t>
        </is>
      </c>
      <c r="G88" t="inlineStr">
        <is>
          <t>NYNÄSHAMN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30476-2026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46210</v>
      </c>
      <c r="E89" s="1" t="n">
        <v>46261</v>
      </c>
      <c r="F89" t="inlineStr">
        <is>
          <t>STOCKHOLMS LÄN</t>
        </is>
      </c>
      <c r="G89" t="inlineStr">
        <is>
          <t>NYNÄSHAMN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45469</v>
      </c>
      <c r="E90" s="1" t="n">
        <v>46261</v>
      </c>
      <c r="F90" t="inlineStr">
        <is>
          <t>STOCKHOLMS LÄN</t>
        </is>
      </c>
      <c r="G90" t="inlineStr">
        <is>
          <t>NYNÄSHAMN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45419</v>
      </c>
      <c r="E91" s="1" t="n">
        <v>46261</v>
      </c>
      <c r="F91" t="inlineStr">
        <is>
          <t>STOCKHOLMS LÄN</t>
        </is>
      </c>
      <c r="G91" t="inlineStr">
        <is>
          <t>NYNÄSHAMN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21192-2023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45062</v>
      </c>
      <c r="E92" s="1" t="n">
        <v>46261</v>
      </c>
      <c r="F92" t="inlineStr">
        <is>
          <t>STOCKHOLMS LÄN</t>
        </is>
      </c>
      <c r="G92" t="inlineStr">
        <is>
          <t>NYNÄSHAMN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36052-2023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45149</v>
      </c>
      <c r="E93" s="1" t="n">
        <v>46261</v>
      </c>
      <c r="F93" t="inlineStr">
        <is>
          <t>STOCKHOLMS LÄN</t>
        </is>
      </c>
      <c r="G93" t="inlineStr">
        <is>
          <t>NYNÄSHAMN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45209</v>
      </c>
      <c r="E94" s="1" t="n">
        <v>46261</v>
      </c>
      <c r="F94" t="inlineStr">
        <is>
          <t>STOCKHOLMS LÄN</t>
        </is>
      </c>
      <c r="G94" t="inlineStr">
        <is>
          <t>NYNÄSHAMN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45173</v>
      </c>
      <c r="E95" s="1" t="n">
        <v>46261</v>
      </c>
      <c r="F95" t="inlineStr">
        <is>
          <t>STOCKHOLMS LÄN</t>
        </is>
      </c>
      <c r="G95" t="inlineStr">
        <is>
          <t>NYNÄSHAMN</t>
        </is>
      </c>
      <c r="I95" t="n">
        <v>12.3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26190-2022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46261</v>
      </c>
      <c r="F96" t="inlineStr">
        <is>
          <t>STOCKHOLMS LÄN</t>
        </is>
      </c>
      <c r="G96" t="inlineStr">
        <is>
          <t>NYNÄSHAMN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63463-2023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45274</v>
      </c>
      <c r="E97" s="1" t="n">
        <v>46261</v>
      </c>
      <c r="F97" t="inlineStr">
        <is>
          <t>STOCKHOLMS LÄN</t>
        </is>
      </c>
      <c r="G97" t="inlineStr">
        <is>
          <t>NYNÄSHAMN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64494-2023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46261</v>
      </c>
      <c r="F98" t="inlineStr">
        <is>
          <t>STOCKHOLMS LÄN</t>
        </is>
      </c>
      <c r="G98" t="inlineStr">
        <is>
          <t>NYNÄSHAMN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55871-2023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45239</v>
      </c>
      <c r="E99" s="1" t="n">
        <v>46261</v>
      </c>
      <c r="F99" t="inlineStr">
        <is>
          <t>STOCKHOLMS LÄN</t>
        </is>
      </c>
      <c r="G99" t="inlineStr">
        <is>
          <t>NYNÄSHAMN</t>
        </is>
      </c>
      <c r="H99" t="inlineStr">
        <is>
          <t>Kommuner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45266</v>
      </c>
      <c r="E100" s="1" t="n">
        <v>46261</v>
      </c>
      <c r="F100" t="inlineStr">
        <is>
          <t>STOCKHOLMS LÄN</t>
        </is>
      </c>
      <c r="G100" t="inlineStr">
        <is>
          <t>NYNÄSHAMN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7180-2024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45344</v>
      </c>
      <c r="E101" s="1" t="n">
        <v>46261</v>
      </c>
      <c r="F101" t="inlineStr">
        <is>
          <t>STOCKHOLMS LÄN</t>
        </is>
      </c>
      <c r="G101" t="inlineStr">
        <is>
          <t>NYNÄSHAMN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41677-2023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45173</v>
      </c>
      <c r="E102" s="1" t="n">
        <v>46261</v>
      </c>
      <c r="F102" t="inlineStr">
        <is>
          <t>STOCKHOLMS LÄN</t>
        </is>
      </c>
      <c r="G102" t="inlineStr">
        <is>
          <t>NYNÄSHAMN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62878-2023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46261</v>
      </c>
      <c r="F103" t="inlineStr">
        <is>
          <t>STOCKHOLMS LÄN</t>
        </is>
      </c>
      <c r="G103" t="inlineStr">
        <is>
          <t>NYNÄSHAMN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17634-2022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44680</v>
      </c>
      <c r="E104" s="1" t="n">
        <v>46261</v>
      </c>
      <c r="F104" t="inlineStr">
        <is>
          <t>STOCKHOLMS LÄN</t>
        </is>
      </c>
      <c r="G104" t="inlineStr">
        <is>
          <t>NYNÄSHAMN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46261</v>
      </c>
      <c r="F105" t="inlineStr">
        <is>
          <t>STOCKHOLMS LÄN</t>
        </is>
      </c>
      <c r="G105" t="inlineStr">
        <is>
          <t>NYNÄSHAMN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64411-2023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45280</v>
      </c>
      <c r="E106" s="1" t="n">
        <v>46261</v>
      </c>
      <c r="F106" t="inlineStr">
        <is>
          <t>STOCKHOLMS LÄN</t>
        </is>
      </c>
      <c r="G106" t="inlineStr">
        <is>
          <t>NYNÄSHAMN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45610</v>
      </c>
      <c r="E107" s="1" t="n">
        <v>46261</v>
      </c>
      <c r="F107" t="inlineStr">
        <is>
          <t>STOCKHOLMS LÄN</t>
        </is>
      </c>
      <c r="G107" t="inlineStr">
        <is>
          <t>NYNÄSHAMN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45184</v>
      </c>
      <c r="E108" s="1" t="n">
        <v>46261</v>
      </c>
      <c r="F108" t="inlineStr">
        <is>
          <t>STOCKHOLMS LÄN</t>
        </is>
      </c>
      <c r="G108" t="inlineStr">
        <is>
          <t>NYNÄSHAMN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33787-2024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45520</v>
      </c>
      <c r="E109" s="1" t="n">
        <v>46261</v>
      </c>
      <c r="F109" t="inlineStr">
        <is>
          <t>STOCKHOLMS LÄN</t>
        </is>
      </c>
      <c r="G109" t="inlineStr">
        <is>
          <t>NYNÄSHAMN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45146</v>
      </c>
      <c r="E110" s="1" t="n">
        <v>46261</v>
      </c>
      <c r="F110" t="inlineStr">
        <is>
          <t>STOCKHOLMS LÄN</t>
        </is>
      </c>
      <c r="G110" t="inlineStr">
        <is>
          <t>NYNÄSHAMN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33667-2022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44789</v>
      </c>
      <c r="E111" s="1" t="n">
        <v>46261</v>
      </c>
      <c r="F111" t="inlineStr">
        <is>
          <t>STOCKHOLMS LÄN</t>
        </is>
      </c>
      <c r="G111" t="inlineStr">
        <is>
          <t>NYNÄSHAMN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46261</v>
      </c>
      <c r="F112" t="inlineStr">
        <is>
          <t>STOCKHOLMS LÄN</t>
        </is>
      </c>
      <c r="G112" t="inlineStr">
        <is>
          <t>NYNÄSHAMN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44986</v>
      </c>
      <c r="E113" s="1" t="n">
        <v>46261</v>
      </c>
      <c r="F113" t="inlineStr">
        <is>
          <t>STOCKHOLMS LÄN</t>
        </is>
      </c>
      <c r="G113" t="inlineStr">
        <is>
          <t>NYNÄSHAMN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45664</v>
      </c>
      <c r="E114" s="1" t="n">
        <v>46261</v>
      </c>
      <c r="F114" t="inlineStr">
        <is>
          <t>STOCKHOLMS LÄN</t>
        </is>
      </c>
      <c r="G114" t="inlineStr">
        <is>
          <t>NYNÄSHAMN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44941</v>
      </c>
      <c r="E115" s="1" t="n">
        <v>46261</v>
      </c>
      <c r="F115" t="inlineStr">
        <is>
          <t>STOCKHOLMS LÄN</t>
        </is>
      </c>
      <c r="G115" t="inlineStr">
        <is>
          <t>NYNÄSHAMN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41767-2024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45561</v>
      </c>
      <c r="E116" s="1" t="n">
        <v>46261</v>
      </c>
      <c r="F116" t="inlineStr">
        <is>
          <t>STOCKHOLMS LÄN</t>
        </is>
      </c>
      <c r="G116" t="inlineStr">
        <is>
          <t>NYNÄSHAMN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45747</v>
      </c>
      <c r="E117" s="1" t="n">
        <v>46261</v>
      </c>
      <c r="F117" t="inlineStr">
        <is>
          <t>STOCKHOLMS LÄN</t>
        </is>
      </c>
      <c r="G117" t="inlineStr">
        <is>
          <t>NYNÄSHAMN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46261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45779</v>
      </c>
      <c r="E119" s="1" t="n">
        <v>46261</v>
      </c>
      <c r="F119" t="inlineStr">
        <is>
          <t>STOCKHOLMS LÄN</t>
        </is>
      </c>
      <c r="G119" t="inlineStr">
        <is>
          <t>NYNÄSHAMN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46261</v>
      </c>
      <c r="F120" t="inlineStr">
        <is>
          <t>STOCKHOLMS LÄN</t>
        </is>
      </c>
      <c r="G120" t="inlineStr">
        <is>
          <t>NYNÄSHAMN</t>
        </is>
      </c>
      <c r="H120" t="inlineStr">
        <is>
          <t>Kommuner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2697-2024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45482</v>
      </c>
      <c r="E121" s="1" t="n">
        <v>46261</v>
      </c>
      <c r="F121" t="inlineStr">
        <is>
          <t>STOCKHOLMS LÄN</t>
        </is>
      </c>
      <c r="G121" t="inlineStr">
        <is>
          <t>NYNÄSHAMN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4477-2022</t>
        </is>
      </c>
      <c r="B122" t="inlineStr">
        <is>
          <t>samrådsanmälan</t>
        </is>
      </c>
      <c r="C122" t="inlineStr">
        <is>
          <t>Skogsbilväg</t>
        </is>
      </c>
      <c r="D122" s="1" t="n">
        <v>44787</v>
      </c>
      <c r="E122" s="1" t="n">
        <v>46261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1845-2026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46198</v>
      </c>
      <c r="E123" s="1" t="n">
        <v>46261</v>
      </c>
      <c r="F123" t="inlineStr">
        <is>
          <t>STOCKHOLMS LÄN</t>
        </is>
      </c>
      <c r="G123" t="inlineStr">
        <is>
          <t>NYNÄSHAMN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2026-08-27T01:49:46Z</dcterms:created>
  <dcterms:modified xmlns:dcterms="http://purl.org/dc/terms/" xmlns:xsi="http://www.w3.org/2001/XMLSchema-instance" xsi:type="dcterms:W3CDTF">2026-08-27T01:49:46Z</dcterms:modified>
</cp:coreProperties>
</file>