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46236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46236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46236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46236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46236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46236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46236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46236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52261-2022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46236</v>
      </c>
      <c r="F10" t="inlineStr">
        <is>
          <t>STOCKHOLMS LÄN</t>
        </is>
      </c>
      <c r="G10" t="inlineStr">
        <is>
          <t>NYNÄSHAMN</t>
        </is>
      </c>
      <c r="I10" t="n">
        <v>3.8</v>
      </c>
      <c r="J10" t="n">
        <v>1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9</v>
      </c>
      <c r="U10" t="n">
        <v>9</v>
      </c>
      <c r="V10" s="2" t="inlineStr">
        <is>
          <t>Tallticka
Vedskivlav
Hasselticka
Blåsippa</t>
        </is>
      </c>
      <c r="W10">
        <f>HYPERLINK("https://klasma.github.io/Logging_0192/artfynd/A 52261-2022 artfynd.xlsx", "A 52261-2022")</f>
        <v/>
      </c>
      <c r="X10">
        <f>HYPERLINK("https://klasma.github.io/Logging_0192/kartor/A 52261-2022 karta.png", "A 52261-2022")</f>
        <v/>
      </c>
      <c r="Y10">
        <f>HYPERLINK("https://klasma.github.io/Logging_0192/kartor_geotiff/A 52261-2022 georefererad karta.tif", "A 52261-2022")</f>
        <v/>
      </c>
      <c r="AA10">
        <f>HYPERLINK("https://klasma.github.io/Logging_0192/klagomål/A 52261-2022 FSC-klagomål.docx", "A 52261-2022")</f>
        <v/>
      </c>
      <c r="AB10">
        <f>HYPERLINK("https://klasma.github.io/Logging_0192/klagomålsmail/A 52261-2022 FSC-klagomål mail.docx", "A 52261-2022")</f>
        <v/>
      </c>
      <c r="AC10">
        <f>HYPERLINK("https://klasma.github.io/Logging_0192/tillsyn/A 52261-2022 tillsynsbegäran.docx", "A 52261-2022")</f>
        <v/>
      </c>
      <c r="AD10">
        <f>HYPERLINK("https://klasma.github.io/Logging_0192/tillsynsmail/A 52261-2022 tillsynsbegäran mail.docx", "A 52261-2022")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46236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46236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46236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16309-2022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44670</v>
      </c>
      <c r="E14" s="1" t="n">
        <v>46236</v>
      </c>
      <c r="F14" t="inlineStr">
        <is>
          <t>STOCKHOLMS LÄN</t>
        </is>
      </c>
      <c r="G14" t="inlineStr">
        <is>
          <t>NYNÄSHAMN</t>
        </is>
      </c>
      <c r="I14" t="n">
        <v>7.7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Jungfrulin
Blåsippa
Gullviva</t>
        </is>
      </c>
      <c r="W14">
        <f>HYPERLINK("https://klasma.github.io/Logging_0192/artfynd/A 16309-2022 artfynd.xlsx", "A 16309-2022")</f>
        <v/>
      </c>
      <c r="X14">
        <f>HYPERLINK("https://klasma.github.io/Logging_0192/kartor/A 16309-2022 karta.png", "A 16309-2022")</f>
        <v/>
      </c>
      <c r="Y14">
        <f>HYPERLINK("https://klasma.github.io/Logging_0192/kartor_geotiff/A 16309-2022 georefererad karta.tif", "A 16309-2022")</f>
        <v/>
      </c>
      <c r="AA14">
        <f>HYPERLINK("https://klasma.github.io/Logging_0192/klagomål/A 16309-2022 FSC-klagomål.docx", "A 16309-2022")</f>
        <v/>
      </c>
      <c r="AB14">
        <f>HYPERLINK("https://klasma.github.io/Logging_0192/klagomålsmail/A 16309-2022 FSC-klagomål mail.docx", "A 16309-2022")</f>
        <v/>
      </c>
      <c r="AC14">
        <f>HYPERLINK("https://klasma.github.io/Logging_0192/tillsyn/A 16309-2022 tillsynsbegäran.docx", "A 16309-2022")</f>
        <v/>
      </c>
      <c r="AD14">
        <f>HYPERLINK("https://klasma.github.io/Logging_0192/tillsynsmail/A 16309-2022 tillsynsbegäran mail.docx", "A 16309-2022")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46236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46236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46236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49523-2023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46236</v>
      </c>
      <c r="F18" t="inlineStr">
        <is>
          <t>STOCKHOLMS LÄN</t>
        </is>
      </c>
      <c r="G18" t="inlineStr">
        <is>
          <t>NYNÄSHAMN</t>
        </is>
      </c>
      <c r="I18" t="n">
        <v>2.2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Grönpyrola
Västlig hakmossa</t>
        </is>
      </c>
      <c r="W18">
        <f>HYPERLINK("https://klasma.github.io/Logging_0192/artfynd/A 49523-2023 artfynd.xlsx", "A 49523-2023")</f>
        <v/>
      </c>
      <c r="X18">
        <f>HYPERLINK("https://klasma.github.io/Logging_0192/kartor/A 49523-2023 karta.png", "A 49523-2023")</f>
        <v/>
      </c>
      <c r="Y18">
        <f>HYPERLINK("https://klasma.github.io/Logging_0192/kartor_geotiff/A 49523-2023 georefererad karta.tif", "A 49523-2023")</f>
        <v/>
      </c>
      <c r="AA18">
        <f>HYPERLINK("https://klasma.github.io/Logging_0192/klagomål/A 49523-2023 FSC-klagomål.docx", "A 49523-2023")</f>
        <v/>
      </c>
      <c r="AB18">
        <f>HYPERLINK("https://klasma.github.io/Logging_0192/klagomålsmail/A 49523-2023 FSC-klagomål mail.docx", "A 49523-2023")</f>
        <v/>
      </c>
      <c r="AC18">
        <f>HYPERLINK("https://klasma.github.io/Logging_0192/tillsyn/A 49523-2023 tillsynsbegäran.docx", "A 49523-2023")</f>
        <v/>
      </c>
      <c r="AD18">
        <f>HYPERLINK("https://klasma.github.io/Logging_0192/tillsynsmail/A 49523-2023 tillsynsbegäran mail.docx", "A 49523-2023")</f>
        <v/>
      </c>
    </row>
    <row r="19" ht="15" customHeight="1">
      <c r="A19" t="inlineStr">
        <is>
          <t>A 10059-2022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44621</v>
      </c>
      <c r="E19" s="1" t="n">
        <v>46236</v>
      </c>
      <c r="F19" t="inlineStr">
        <is>
          <t>STOCKHOLMS LÄN</t>
        </is>
      </c>
      <c r="G19" t="inlineStr">
        <is>
          <t>NYNÄSHAMN</t>
        </is>
      </c>
      <c r="I19" t="n">
        <v>17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Bolmört
Bollvitmossa</t>
        </is>
      </c>
      <c r="W19">
        <f>HYPERLINK("https://klasma.github.io/Logging_0192/artfynd/A 10059-2022 artfynd.xlsx", "A 10059-2022")</f>
        <v/>
      </c>
      <c r="X19">
        <f>HYPERLINK("https://klasma.github.io/Logging_0192/kartor/A 10059-2022 karta.png", "A 10059-2022")</f>
        <v/>
      </c>
      <c r="Y19">
        <f>HYPERLINK("https://klasma.github.io/Logging_0192/kartor_geotiff/A 10059-2022 georefererad karta.tif", "A 10059-2022")</f>
        <v/>
      </c>
      <c r="AA19">
        <f>HYPERLINK("https://klasma.github.io/Logging_0192/klagomål/A 10059-2022 FSC-klagomål.docx", "A 10059-2022")</f>
        <v/>
      </c>
      <c r="AB19">
        <f>HYPERLINK("https://klasma.github.io/Logging_0192/klagomålsmail/A 10059-2022 FSC-klagomål mail.docx", "A 10059-2022")</f>
        <v/>
      </c>
      <c r="AC19">
        <f>HYPERLINK("https://klasma.github.io/Logging_0192/tillsyn/A 10059-2022 tillsynsbegäran.docx", "A 10059-2022")</f>
        <v/>
      </c>
      <c r="AD19">
        <f>HYPERLINK("https://klasma.github.io/Logging_0192/tillsynsmail/A 10059-2022 tillsynsbegäran mail.docx", "A 10059-2022")</f>
        <v/>
      </c>
    </row>
    <row r="20" ht="15" customHeight="1">
      <c r="A20" t="inlineStr">
        <is>
          <t>A 5567-2023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46236</v>
      </c>
      <c r="F20" t="inlineStr">
        <is>
          <t>STOCKHOLMS LÄN</t>
        </is>
      </c>
      <c r="G20" t="inlineStr">
        <is>
          <t>NYNÄSHAMN</t>
        </is>
      </c>
      <c r="I20" t="n">
        <v>10.1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Sårläka
Blåsippa</t>
        </is>
      </c>
      <c r="W20">
        <f>HYPERLINK("https://klasma.github.io/Logging_0192/artfynd/A 5567-2023 artfynd.xlsx", "A 5567-2023")</f>
        <v/>
      </c>
      <c r="X20">
        <f>HYPERLINK("https://klasma.github.io/Logging_0192/kartor/A 5567-2023 karta.png", "A 5567-2023")</f>
        <v/>
      </c>
      <c r="Y20">
        <f>HYPERLINK("https://klasma.github.io/Logging_0192/kartor_geotiff/A 5567-2023 georefererad karta.tif", "A 5567-2023")</f>
        <v/>
      </c>
      <c r="AA20">
        <f>HYPERLINK("https://klasma.github.io/Logging_0192/klagomål/A 5567-2023 FSC-klagomål.docx", "A 5567-2023")</f>
        <v/>
      </c>
      <c r="AB20">
        <f>HYPERLINK("https://klasma.github.io/Logging_0192/klagomålsmail/A 5567-2023 FSC-klagomål mail.docx", "A 5567-2023")</f>
        <v/>
      </c>
      <c r="AC20">
        <f>HYPERLINK("https://klasma.github.io/Logging_0192/tillsyn/A 5567-2023 tillsynsbegäran.docx", "A 5567-2023")</f>
        <v/>
      </c>
      <c r="AD20">
        <f>HYPERLINK("https://klasma.github.io/Logging_0192/tillsynsmail/A 5567-2023 tillsynsbegäran mail.docx", "A 5567-2023")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46236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8939-2023 artfynd.xlsx", "A 8939-2023")</f>
        <v/>
      </c>
      <c r="X21">
        <f>HYPERLINK("https://klasma.github.io/Logging_0192/kartor/A 8939-2023 karta.png", "A 8939-2023")</f>
        <v/>
      </c>
      <c r="Y21">
        <f>HYPERLINK("https://klasma.github.io/Logging_0192/kartor_geotiff/A 8939-2023 georefererad karta.tif", "A 8939-2023")</f>
        <v/>
      </c>
      <c r="AA21">
        <f>HYPERLINK("https://klasma.github.io/Logging_0192/klagomål/A 8939-2023 FSC-klagomål.docx", "A 8939-2023")</f>
        <v/>
      </c>
      <c r="AB21">
        <f>HYPERLINK("https://klasma.github.io/Logging_0192/klagomålsmail/A 8939-2023 FSC-klagomål mail.docx", "A 8939-2023")</f>
        <v/>
      </c>
      <c r="AC21">
        <f>HYPERLINK("https://klasma.github.io/Logging_0192/tillsyn/A 8939-2023 tillsynsbegäran.docx", "A 8939-2023")</f>
        <v/>
      </c>
      <c r="AD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46236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Hasselticka
Myskmadra</t>
        </is>
      </c>
      <c r="W22">
        <f>HYPERLINK("https://klasma.github.io/Logging_0192/artfynd/A 47093-2023 artfynd.xlsx", "A 47093-2023")</f>
        <v/>
      </c>
      <c r="X22">
        <f>HYPERLINK("https://klasma.github.io/Logging_0192/kartor/A 47093-2023 karta.png", "A 47093-2023")</f>
        <v/>
      </c>
      <c r="Y22">
        <f>HYPERLINK("https://klasma.github.io/Logging_0192/kartor_geotiff/A 47093-2023 georefererad karta.tif", "A 47093-2023")</f>
        <v/>
      </c>
      <c r="AA22">
        <f>HYPERLINK("https://klasma.github.io/Logging_0192/klagomål/A 47093-2023 FSC-klagomål.docx", "A 47093-2023")</f>
        <v/>
      </c>
      <c r="AB22">
        <f>HYPERLINK("https://klasma.github.io/Logging_0192/klagomålsmail/A 47093-2023 FSC-klagomål mail.docx", "A 47093-2023")</f>
        <v/>
      </c>
      <c r="AC22">
        <f>HYPERLINK("https://klasma.github.io/Logging_0192/tillsyn/A 47093-2023 tillsynsbegäran.docx", "A 47093-2023")</f>
        <v/>
      </c>
      <c r="AD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46236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64189-2023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45279</v>
      </c>
      <c r="E24" s="1" t="n">
        <v>46236</v>
      </c>
      <c r="F24" t="inlineStr">
        <is>
          <t>STOCKHOLMS LÄN</t>
        </is>
      </c>
      <c r="G24" t="inlineStr">
        <is>
          <t>NYNÄSHAMN</t>
        </is>
      </c>
      <c r="I24" t="n">
        <v>1.5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Blåsippa
Gullviva</t>
        </is>
      </c>
      <c r="W24">
        <f>HYPERLINK("https://klasma.github.io/Logging_0192/artfynd/A 64189-2023 artfynd.xlsx", "A 64189-2023")</f>
        <v/>
      </c>
      <c r="X24">
        <f>HYPERLINK("https://klasma.github.io/Logging_0192/kartor/A 64189-2023 karta.png", "A 64189-2023")</f>
        <v/>
      </c>
      <c r="Y24">
        <f>HYPERLINK("https://klasma.github.io/Logging_0192/kartor_geotiff/A 64189-2023 georefererad karta.tif", "A 64189-2023")</f>
        <v/>
      </c>
      <c r="AA24">
        <f>HYPERLINK("https://klasma.github.io/Logging_0192/klagomål/A 64189-2023 FSC-klagomål.docx", "A 64189-2023")</f>
        <v/>
      </c>
      <c r="AB24">
        <f>HYPERLINK("https://klasma.github.io/Logging_0192/klagomålsmail/A 64189-2023 FSC-klagomål mail.docx", "A 64189-2023")</f>
        <v/>
      </c>
      <c r="AC24">
        <f>HYPERLINK("https://klasma.github.io/Logging_0192/tillsyn/A 64189-2023 tillsynsbegäran.docx", "A 64189-2023")</f>
        <v/>
      </c>
      <c r="AD24">
        <f>HYPERLINK("https://klasma.github.io/Logging_0192/tillsynsmail/A 64189-2023 tillsynsbegäran mail.docx", "A 64189-2023")</f>
        <v/>
      </c>
    </row>
    <row r="25" ht="15" customHeight="1">
      <c r="A25" t="inlineStr">
        <is>
          <t>A 33528-2023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45131</v>
      </c>
      <c r="E25" s="1" t="n">
        <v>46236</v>
      </c>
      <c r="F25" t="inlineStr">
        <is>
          <t>STOCKHOLMS LÄN</t>
        </is>
      </c>
      <c r="G25" t="inlineStr">
        <is>
          <t>NYNÄSHAMN</t>
        </is>
      </c>
      <c r="I25" t="n">
        <v>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Strutbräken</t>
        </is>
      </c>
      <c r="W25">
        <f>HYPERLINK("https://klasma.github.io/Logging_0192/artfynd/A 33528-2023 artfynd.xlsx", "A 33528-2023")</f>
        <v/>
      </c>
      <c r="X25">
        <f>HYPERLINK("https://klasma.github.io/Logging_0192/kartor/A 33528-2023 karta.png", "A 33528-2023")</f>
        <v/>
      </c>
      <c r="Y25">
        <f>HYPERLINK("https://klasma.github.io/Logging_0192/kartor_geotiff/A 33528-2023 georefererad karta.tif", "A 33528-2023")</f>
        <v/>
      </c>
      <c r="AA25">
        <f>HYPERLINK("https://klasma.github.io/Logging_0192/klagomål/A 33528-2023 FSC-klagomål.docx", "A 33528-2023")</f>
        <v/>
      </c>
      <c r="AB25">
        <f>HYPERLINK("https://klasma.github.io/Logging_0192/klagomålsmail/A 33528-2023 FSC-klagomål mail.docx", "A 33528-2023")</f>
        <v/>
      </c>
      <c r="AC25">
        <f>HYPERLINK("https://klasma.github.io/Logging_0192/tillsyn/A 33528-2023 tillsynsbegäran.docx", "A 33528-2023")</f>
        <v/>
      </c>
      <c r="AD25">
        <f>HYPERLINK("https://klasma.github.io/Logging_0192/tillsynsmail/A 33528-2023 tillsynsbegäran mail.docx", "A 33528-2023")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46236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Fjällvråk
Havsörn</t>
        </is>
      </c>
      <c r="W26">
        <f>HYPERLINK("https://klasma.github.io/Logging_0192/artfynd/A 12033-2026 artfynd.xlsx", "A 12033-2026")</f>
        <v/>
      </c>
      <c r="X26">
        <f>HYPERLINK("https://klasma.github.io/Logging_0192/kartor/A 12033-2026 karta.png", "A 12033-2026")</f>
        <v/>
      </c>
      <c r="Y26">
        <f>HYPERLINK("https://klasma.github.io/Logging_0192/kartor_geotiff/A 12033-2026 georefererad karta.tif", "A 12033-2026")</f>
        <v/>
      </c>
      <c r="AA26">
        <f>HYPERLINK("https://klasma.github.io/Logging_0192/klagomål/A 12033-2026 FSC-klagomål.docx", "A 12033-2026")</f>
        <v/>
      </c>
      <c r="AB26">
        <f>HYPERLINK("https://klasma.github.io/Logging_0192/klagomålsmail/A 12033-2026 FSC-klagomål mail.docx", "A 12033-2026")</f>
        <v/>
      </c>
      <c r="AC26">
        <f>HYPERLINK("https://klasma.github.io/Logging_0192/tillsyn/A 12033-2026 tillsynsbegäran.docx", "A 12033-2026")</f>
        <v/>
      </c>
      <c r="AD26">
        <f>HYPERLINK("https://klasma.github.io/Logging_0192/tillsynsmail/A 12033-2026 tillsynsbegäran mail.docx", "A 12033-2026")</f>
        <v/>
      </c>
      <c r="AE26">
        <f>HYPERLINK("https://klasma.github.io/Logging_0192/fåglar/A 12033-2026 prioriterade fågelarter.docx", "A 12033-2026")</f>
        <v/>
      </c>
    </row>
    <row r="27" ht="15" customHeight="1">
      <c r="A27" t="inlineStr">
        <is>
          <t>A 38771-2021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44410</v>
      </c>
      <c r="E27" s="1" t="n">
        <v>46236</v>
      </c>
      <c r="F27" t="inlineStr">
        <is>
          <t>STOCKHOLMS LÄN</t>
        </is>
      </c>
      <c r="G27" t="inlineStr">
        <is>
          <t>NYNÄSHAMN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Gullviva</t>
        </is>
      </c>
      <c r="W27">
        <f>HYPERLINK("https://klasma.github.io/Logging_0192/artfynd/A 38771-2021 artfynd.xlsx", "A 38771-2021")</f>
        <v/>
      </c>
      <c r="X27">
        <f>HYPERLINK("https://klasma.github.io/Logging_0192/kartor/A 38771-2021 karta.png", "A 38771-2021")</f>
        <v/>
      </c>
      <c r="Y27">
        <f>HYPERLINK("https://klasma.github.io/Logging_0192/kartor_geotiff/A 38771-2021 georefererad karta.tif", "A 38771-2021")</f>
        <v/>
      </c>
      <c r="AA27">
        <f>HYPERLINK("https://klasma.github.io/Logging_0192/klagomål/A 38771-2021 FSC-klagomål.docx", "A 38771-2021")</f>
        <v/>
      </c>
      <c r="AB27">
        <f>HYPERLINK("https://klasma.github.io/Logging_0192/klagomålsmail/A 38771-2021 FSC-klagomål mail.docx", "A 38771-2021")</f>
        <v/>
      </c>
      <c r="AC27">
        <f>HYPERLINK("https://klasma.github.io/Logging_0192/tillsyn/A 38771-2021 tillsynsbegäran.docx", "A 38771-2021")</f>
        <v/>
      </c>
      <c r="AD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44917</v>
      </c>
      <c r="E28" s="1" t="n">
        <v>46236</v>
      </c>
      <c r="F28" t="inlineStr">
        <is>
          <t>STOCKHOLMS LÄN</t>
        </is>
      </c>
      <c r="G28" t="inlineStr">
        <is>
          <t>NYNÄSHAMN</t>
        </is>
      </c>
      <c r="I28" t="n">
        <v>15.8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padda</t>
        </is>
      </c>
      <c r="W28">
        <f>HYPERLINK("https://klasma.github.io/Logging_0192/artfynd/A 62634-2022 artfynd.xlsx", "A 62634-2022")</f>
        <v/>
      </c>
      <c r="X28">
        <f>HYPERLINK("https://klasma.github.io/Logging_0192/kartor/A 62634-2022 karta.png", "A 62634-2022")</f>
        <v/>
      </c>
      <c r="Y28">
        <f>HYPERLINK("https://klasma.github.io/Logging_0192/kartor_geotiff/A 62634-2022 georefererad karta.tif", "A 62634-2022")</f>
        <v/>
      </c>
      <c r="AA28">
        <f>HYPERLINK("https://klasma.github.io/Logging_0192/klagomål/A 62634-2022 FSC-klagomål.docx", "A 62634-2022")</f>
        <v/>
      </c>
      <c r="AB28">
        <f>HYPERLINK("https://klasma.github.io/Logging_0192/klagomålsmail/A 62634-2022 FSC-klagomål mail.docx", "A 62634-2022")</f>
        <v/>
      </c>
      <c r="AC28">
        <f>HYPERLINK("https://klasma.github.io/Logging_0192/tillsyn/A 62634-2022 tillsynsbegäran.docx", "A 62634-2022")</f>
        <v/>
      </c>
      <c r="AD28">
        <f>HYPERLINK("https://klasma.github.io/Logging_0192/tillsynsmail/A 62634-2022 tillsynsbegäran mail.docx", "A 62634-2022")</f>
        <v/>
      </c>
    </row>
    <row r="29" ht="15" customHeight="1">
      <c r="A29" t="inlineStr">
        <is>
          <t>A 9017-2023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44979</v>
      </c>
      <c r="E29" s="1" t="n">
        <v>46236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2.7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HYPERLINK("https://klasma.github.io/Logging_0192/artfynd/A 9017-2023 artfynd.xlsx", "A 9017-2023")</f>
        <v/>
      </c>
      <c r="X29">
        <f>HYPERLINK("https://klasma.github.io/Logging_0192/kartor/A 9017-2023 karta.png", "A 9017-2023")</f>
        <v/>
      </c>
      <c r="Y29">
        <f>HYPERLINK("https://klasma.github.io/Logging_0192/kartor_geotiff/A 9017-2023 georefererad karta.tif", "A 9017-2023")</f>
        <v/>
      </c>
      <c r="AA29">
        <f>HYPERLINK("https://klasma.github.io/Logging_0192/klagomål/A 9017-2023 FSC-klagomål.docx", "A 9017-2023")</f>
        <v/>
      </c>
      <c r="AB29">
        <f>HYPERLINK("https://klasma.github.io/Logging_0192/klagomålsmail/A 9017-2023 FSC-klagomål mail.docx", "A 9017-2023")</f>
        <v/>
      </c>
      <c r="AC29">
        <f>HYPERLINK("https://klasma.github.io/Logging_0192/tillsyn/A 9017-2023 tillsynsbegäran.docx", "A 9017-2023")</f>
        <v/>
      </c>
      <c r="AD29">
        <f>HYPERLINK("https://klasma.github.io/Logging_0192/tillsynsmail/A 9017-2023 tillsynsbegäran mail.docx", "A 9017-2023")</f>
        <v/>
      </c>
    </row>
    <row r="30" ht="15" customHeight="1">
      <c r="A30" t="inlineStr">
        <is>
          <t>A 32074-2023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46236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13.1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Grå kantarell</t>
        </is>
      </c>
      <c r="W30">
        <f>HYPERLINK("https://klasma.github.io/Logging_0192/artfynd/A 32074-2023 artfynd.xlsx", "A 32074-2023")</f>
        <v/>
      </c>
      <c r="X30">
        <f>HYPERLINK("https://klasma.github.io/Logging_0192/kartor/A 32074-2023 karta.png", "A 32074-2023")</f>
        <v/>
      </c>
      <c r="Y30">
        <f>HYPERLINK("https://klasma.github.io/Logging_0192/kartor_geotiff/A 32074-2023 georefererad karta.tif", "A 32074-2023")</f>
        <v/>
      </c>
      <c r="AA30">
        <f>HYPERLINK("https://klasma.github.io/Logging_0192/klagomål/A 32074-2023 FSC-klagomål.docx", "A 32074-2023")</f>
        <v/>
      </c>
      <c r="AB30">
        <f>HYPERLINK("https://klasma.github.io/Logging_0192/klagomålsmail/A 32074-2023 FSC-klagomål mail.docx", "A 32074-2023")</f>
        <v/>
      </c>
      <c r="AC30">
        <f>HYPERLINK("https://klasma.github.io/Logging_0192/tillsyn/A 32074-2023 tillsynsbegäran.docx", "A 32074-2023")</f>
        <v/>
      </c>
      <c r="AD30">
        <f>HYPERLINK("https://klasma.github.io/Logging_0192/tillsynsmail/A 32074-2023 tillsynsbegäran mail.docx", "A 32074-2023")</f>
        <v/>
      </c>
    </row>
    <row r="31" ht="15" customHeight="1">
      <c r="A31" t="inlineStr">
        <is>
          <t>A 23906-2026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46236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7.9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HYPERLINK("https://klasma.github.io/Logging_0192/artfynd/A 23906-2026 artfynd.xlsx", "A 23906-2026")</f>
        <v/>
      </c>
      <c r="X31">
        <f>HYPERLINK("https://klasma.github.io/Logging_0192/kartor/A 23906-2026 karta.png", "A 23906-2026")</f>
        <v/>
      </c>
      <c r="Y31">
        <f>HYPERLINK("https://klasma.github.io/Logging_0192/kartor_geotiff/A 23906-2026 georefererad karta.tif", "A 23906-2026")</f>
        <v/>
      </c>
      <c r="AA31">
        <f>HYPERLINK("https://klasma.github.io/Logging_0192/klagomål/A 23906-2026 FSC-klagomål.docx", "A 23906-2026")</f>
        <v/>
      </c>
      <c r="AB31">
        <f>HYPERLINK("https://klasma.github.io/Logging_0192/klagomålsmail/A 23906-2026 FSC-klagomål mail.docx", "A 23906-2026")</f>
        <v/>
      </c>
      <c r="AC31">
        <f>HYPERLINK("https://klasma.github.io/Logging_0192/tillsyn/A 23906-2026 tillsynsbegäran.docx", "A 23906-2026")</f>
        <v/>
      </c>
      <c r="AD31">
        <f>HYPERLINK("https://klasma.github.io/Logging_0192/tillsynsmail/A 23906-2026 tillsynsbegäran mail.docx", "A 23906-2026")</f>
        <v/>
      </c>
    </row>
    <row r="32" ht="15" customHeight="1">
      <c r="A32" t="inlineStr">
        <is>
          <t>A 64196-2023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46236</v>
      </c>
      <c r="F32" t="inlineStr">
        <is>
          <t>STOCKHOLMS LÄN</t>
        </is>
      </c>
      <c r="G32" t="inlineStr">
        <is>
          <t>NYNÄSHAMN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Revlummer</t>
        </is>
      </c>
      <c r="W32">
        <f>HYPERLINK("https://klasma.github.io/Logging_0192/artfynd/A 64196-2023 artfynd.xlsx", "A 64196-2023")</f>
        <v/>
      </c>
      <c r="X32">
        <f>HYPERLINK("https://klasma.github.io/Logging_0192/kartor/A 64196-2023 karta.png", "A 64196-2023")</f>
        <v/>
      </c>
      <c r="Y32">
        <f>HYPERLINK("https://klasma.github.io/Logging_0192/kartor_geotiff/A 64196-2023 georefererad karta.tif", "A 64196-2023")</f>
        <v/>
      </c>
      <c r="AA32">
        <f>HYPERLINK("https://klasma.github.io/Logging_0192/klagomål/A 64196-2023 FSC-klagomål.docx", "A 64196-2023")</f>
        <v/>
      </c>
      <c r="AB32">
        <f>HYPERLINK("https://klasma.github.io/Logging_0192/klagomålsmail/A 64196-2023 FSC-klagomål mail.docx", "A 64196-2023")</f>
        <v/>
      </c>
      <c r="AC32">
        <f>HYPERLINK("https://klasma.github.io/Logging_0192/tillsyn/A 64196-2023 tillsynsbegäran.docx", "A 64196-2023")</f>
        <v/>
      </c>
      <c r="AD32">
        <f>HYPERLINK("https://klasma.github.io/Logging_0192/tillsynsmail/A 64196-2023 tillsynsbegäran mail.docx", "A 64196-2023")</f>
        <v/>
      </c>
    </row>
    <row r="33" ht="15" customHeight="1">
      <c r="A33" t="inlineStr">
        <is>
          <t>A 31842-2023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45118</v>
      </c>
      <c r="E33" s="1" t="n">
        <v>46236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3.8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Grön sköldmossa</t>
        </is>
      </c>
      <c r="W33">
        <f>HYPERLINK("https://klasma.github.io/Logging_0192/artfynd/A 31842-2023 artfynd.xlsx", "A 31842-2023")</f>
        <v/>
      </c>
      <c r="X33">
        <f>HYPERLINK("https://klasma.github.io/Logging_0192/kartor/A 31842-2023 karta.png", "A 31842-2023")</f>
        <v/>
      </c>
      <c r="Y33">
        <f>HYPERLINK("https://klasma.github.io/Logging_0192/kartor_geotiff/A 31842-2023 georefererad karta.tif", "A 31842-2023")</f>
        <v/>
      </c>
      <c r="AA33">
        <f>HYPERLINK("https://klasma.github.io/Logging_0192/klagomål/A 31842-2023 FSC-klagomål.docx", "A 31842-2023")</f>
        <v/>
      </c>
      <c r="AB33">
        <f>HYPERLINK("https://klasma.github.io/Logging_0192/klagomålsmail/A 31842-2023 FSC-klagomål mail.docx", "A 31842-2023")</f>
        <v/>
      </c>
      <c r="AC33">
        <f>HYPERLINK("https://klasma.github.io/Logging_0192/tillsyn/A 31842-2023 tillsynsbegäran.docx", "A 31842-2023")</f>
        <v/>
      </c>
      <c r="AD33">
        <f>HYPERLINK("https://klasma.github.io/Logging_0192/tillsynsmail/A 31842-2023 tillsynsbegäran mail.docx", "A 31842-2023")</f>
        <v/>
      </c>
    </row>
    <row r="34" ht="15" customHeight="1">
      <c r="A34" t="inlineStr">
        <is>
          <t>A 32092-2023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46236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12.4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Skärmstarr</t>
        </is>
      </c>
      <c r="W34">
        <f>HYPERLINK("https://klasma.github.io/Logging_0192/artfynd/A 32092-2023 artfynd.xlsx", "A 32092-2023")</f>
        <v/>
      </c>
      <c r="X34">
        <f>HYPERLINK("https://klasma.github.io/Logging_0192/kartor/A 32092-2023 karta.png", "A 32092-2023")</f>
        <v/>
      </c>
      <c r="Y34">
        <f>HYPERLINK("https://klasma.github.io/Logging_0192/kartor_geotiff/A 32092-2023 georefererad karta.tif", "A 32092-2023")</f>
        <v/>
      </c>
      <c r="AA34">
        <f>HYPERLINK("https://klasma.github.io/Logging_0192/klagomål/A 32092-2023 FSC-klagomål.docx", "A 32092-2023")</f>
        <v/>
      </c>
      <c r="AB34">
        <f>HYPERLINK("https://klasma.github.io/Logging_0192/klagomålsmail/A 32092-2023 FSC-klagomål mail.docx", "A 32092-2023")</f>
        <v/>
      </c>
      <c r="AC34">
        <f>HYPERLINK("https://klasma.github.io/Logging_0192/tillsyn/A 32092-2023 tillsynsbegäran.docx", "A 32092-2023")</f>
        <v/>
      </c>
      <c r="AD34">
        <f>HYPERLINK("https://klasma.github.io/Logging_0192/tillsynsmail/A 32092-2023 tillsynsbegäran mail.docx", "A 32092-2023")</f>
        <v/>
      </c>
    </row>
    <row r="35" ht="15" customHeight="1">
      <c r="A35" t="inlineStr">
        <is>
          <t>A 40895-2024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45558</v>
      </c>
      <c r="E35" s="1" t="n">
        <v>46236</v>
      </c>
      <c r="F35" t="inlineStr">
        <is>
          <t>STOCKHOLMS LÄN</t>
        </is>
      </c>
      <c r="G35" t="inlineStr">
        <is>
          <t>NYNÄSHAMN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Stubbspretmossa</t>
        </is>
      </c>
      <c r="W35">
        <f>HYPERLINK("https://klasma.github.io/Logging_0192/artfynd/A 40895-2024 artfynd.xlsx", "A 40895-2024")</f>
        <v/>
      </c>
      <c r="X35">
        <f>HYPERLINK("https://klasma.github.io/Logging_0192/kartor/A 40895-2024 karta.png", "A 40895-2024")</f>
        <v/>
      </c>
      <c r="Y35">
        <f>HYPERLINK("https://klasma.github.io/Logging_0192/kartor_geotiff/A 40895-2024 georefererad karta.tif", "A 40895-2024")</f>
        <v/>
      </c>
      <c r="AA35">
        <f>HYPERLINK("https://klasma.github.io/Logging_0192/klagomål/A 40895-2024 FSC-klagomål.docx", "A 40895-2024")</f>
        <v/>
      </c>
      <c r="AB35">
        <f>HYPERLINK("https://klasma.github.io/Logging_0192/klagomålsmail/A 40895-2024 FSC-klagomål mail.docx", "A 40895-2024")</f>
        <v/>
      </c>
      <c r="AC35">
        <f>HYPERLINK("https://klasma.github.io/Logging_0192/tillsyn/A 40895-2024 tillsynsbegäran.docx", "A 40895-2024")</f>
        <v/>
      </c>
      <c r="AD35">
        <f>HYPERLINK("https://klasma.github.io/Logging_0192/tillsynsmail/A 40895-2024 tillsynsbegäran mail.docx", "A 40895-2024")</f>
        <v/>
      </c>
    </row>
    <row r="36" ht="15" customHeight="1">
      <c r="A36" t="inlineStr">
        <is>
          <t>A 32011-2023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46236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Fiskgjuse</t>
        </is>
      </c>
      <c r="W36">
        <f>HYPERLINK("https://klasma.github.io/Logging_0192/artfynd/A 32011-2023 artfynd.xlsx", "A 32011-2023")</f>
        <v/>
      </c>
      <c r="X36">
        <f>HYPERLINK("https://klasma.github.io/Logging_0192/kartor/A 32011-2023 karta.png", "A 32011-2023")</f>
        <v/>
      </c>
      <c r="Y36">
        <f>HYPERLINK("https://klasma.github.io/Logging_0192/kartor_geotiff/A 32011-2023 georefererad karta.tif", "A 32011-2023")</f>
        <v/>
      </c>
      <c r="AA36">
        <f>HYPERLINK("https://klasma.github.io/Logging_0192/klagomål/A 32011-2023 FSC-klagomål.docx", "A 32011-2023")</f>
        <v/>
      </c>
      <c r="AB36">
        <f>HYPERLINK("https://klasma.github.io/Logging_0192/klagomålsmail/A 32011-2023 FSC-klagomål mail.docx", "A 32011-2023")</f>
        <v/>
      </c>
      <c r="AC36">
        <f>HYPERLINK("https://klasma.github.io/Logging_0192/tillsyn/A 32011-2023 tillsynsbegäran.docx", "A 32011-2023")</f>
        <v/>
      </c>
      <c r="AD36">
        <f>HYPERLINK("https://klasma.github.io/Logging_0192/tillsynsmail/A 32011-2023 tillsynsbegäran mail.docx", "A 32011-2023")</f>
        <v/>
      </c>
      <c r="AE36">
        <f>HYPERLINK("https://klasma.github.io/Logging_0192/fåglar/A 32011-2023 prioriterade fågelarter.docx", "A 32011-2023")</f>
        <v/>
      </c>
    </row>
    <row r="37" ht="15" customHeight="1">
      <c r="A37" t="inlineStr">
        <is>
          <t>A 27748-2023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46236</v>
      </c>
      <c r="F37" t="inlineStr">
        <is>
          <t>STOCKHOLMS LÄN</t>
        </is>
      </c>
      <c r="G37" t="inlineStr">
        <is>
          <t>NYNÄSHAMN</t>
        </is>
      </c>
      <c r="I37" t="n">
        <v>1.2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HYPERLINK("https://klasma.github.io/Logging_0192/artfynd/A 27748-2023 artfynd.xlsx", "A 27748-2023")</f>
        <v/>
      </c>
      <c r="X37">
        <f>HYPERLINK("https://klasma.github.io/Logging_0192/kartor/A 27748-2023 karta.png", "A 27748-2023")</f>
        <v/>
      </c>
      <c r="Y37">
        <f>HYPERLINK("https://klasma.github.io/Logging_0192/kartor_geotiff/A 27748-2023 georefererad karta.tif", "A 27748-2023")</f>
        <v/>
      </c>
      <c r="AA37">
        <f>HYPERLINK("https://klasma.github.io/Logging_0192/klagomål/A 27748-2023 FSC-klagomål.docx", "A 27748-2023")</f>
        <v/>
      </c>
      <c r="AB37">
        <f>HYPERLINK("https://klasma.github.io/Logging_0192/klagomålsmail/A 27748-2023 FSC-klagomål mail.docx", "A 27748-2023")</f>
        <v/>
      </c>
      <c r="AC37">
        <f>HYPERLINK("https://klasma.github.io/Logging_0192/tillsyn/A 27748-2023 tillsynsbegäran.docx", "A 27748-2023")</f>
        <v/>
      </c>
      <c r="AD37">
        <f>HYPERLINK("https://klasma.github.io/Logging_0192/tillsynsmail/A 27748-2023 tillsynsbegäran mail.docx", "A 27748-2023")</f>
        <v/>
      </c>
    </row>
    <row r="38" ht="15" customHeight="1">
      <c r="A38" t="inlineStr">
        <is>
          <t>A 6435-2023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44965</v>
      </c>
      <c r="E38" s="1" t="n">
        <v>46236</v>
      </c>
      <c r="F38" t="inlineStr">
        <is>
          <t>STOCKHOLMS LÄN</t>
        </is>
      </c>
      <c r="G38" t="inlineStr">
        <is>
          <t>NYNÄSHAMN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Tallticka</t>
        </is>
      </c>
      <c r="W38">
        <f>HYPERLINK("https://klasma.github.io/Logging_0192/artfynd/A 6435-2023 artfynd.xlsx", "A 6435-2023")</f>
        <v/>
      </c>
      <c r="X38">
        <f>HYPERLINK("https://klasma.github.io/Logging_0192/kartor/A 6435-2023 karta.png", "A 6435-2023")</f>
        <v/>
      </c>
      <c r="Y38">
        <f>HYPERLINK("https://klasma.github.io/Logging_0192/kartor_geotiff/A 6435-2023 georefererad karta.tif", "A 6435-2023")</f>
        <v/>
      </c>
      <c r="AA38">
        <f>HYPERLINK("https://klasma.github.io/Logging_0192/klagomål/A 6435-2023 FSC-klagomål.docx", "A 6435-2023")</f>
        <v/>
      </c>
      <c r="AB38">
        <f>HYPERLINK("https://klasma.github.io/Logging_0192/klagomålsmail/A 6435-2023 FSC-klagomål mail.docx", "A 6435-2023")</f>
        <v/>
      </c>
      <c r="AC38">
        <f>HYPERLINK("https://klasma.github.io/Logging_0192/tillsyn/A 6435-2023 tillsynsbegäran.docx", "A 6435-2023")</f>
        <v/>
      </c>
      <c r="AD38">
        <f>HYPERLINK("https://klasma.github.io/Logging_0192/tillsynsmail/A 6435-2023 tillsynsbegäran mail.docx", "A 6435-2023")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46236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46236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46236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46236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46236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46236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46236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46236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46236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46236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46236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46236</v>
      </c>
      <c r="F50" t="inlineStr">
        <is>
          <t>STOCKHOLMS LÄN</t>
        </is>
      </c>
      <c r="G50" t="inlineStr">
        <is>
          <t>NYNÄSHAMN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44854</v>
      </c>
      <c r="E51" s="1" t="n">
        <v>46236</v>
      </c>
      <c r="F51" t="inlineStr">
        <is>
          <t>STOCKHOLMS LÄN</t>
        </is>
      </c>
      <c r="G51" t="inlineStr">
        <is>
          <t>NYNÄSHAMN</t>
        </is>
      </c>
      <c r="H51" t="inlineStr">
        <is>
          <t>Övriga statliga verk och myndigheter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46236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44602</v>
      </c>
      <c r="E53" s="1" t="n">
        <v>46236</v>
      </c>
      <c r="F53" t="inlineStr">
        <is>
          <t>STOCKHOLMS LÄN</t>
        </is>
      </c>
      <c r="G53" t="inlineStr">
        <is>
          <t>NYNÄSHAMN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17634-2022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44680</v>
      </c>
      <c r="E54" s="1" t="n">
        <v>46236</v>
      </c>
      <c r="F54" t="inlineStr">
        <is>
          <t>STOCKHOLMS LÄN</t>
        </is>
      </c>
      <c r="G54" t="inlineStr">
        <is>
          <t>NYNÄSHAMN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46236</v>
      </c>
      <c r="F55" t="inlineStr">
        <is>
          <t>STOCKHOLMS LÄN</t>
        </is>
      </c>
      <c r="G55" t="inlineStr">
        <is>
          <t>NYNÄSHAMN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46236</v>
      </c>
      <c r="F56" t="inlineStr">
        <is>
          <t>STOCKHOLMS LÄN</t>
        </is>
      </c>
      <c r="G56" t="inlineStr">
        <is>
          <t>NYNÄSHAMN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64411-2023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46236</v>
      </c>
      <c r="F57" t="inlineStr">
        <is>
          <t>STOCKHOLMS LÄN</t>
        </is>
      </c>
      <c r="G57" t="inlineStr">
        <is>
          <t>NYNÄSHAMN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46236</v>
      </c>
      <c r="F58" t="inlineStr">
        <is>
          <t>STOCKHOLMS LÄN</t>
        </is>
      </c>
      <c r="G58" t="inlineStr">
        <is>
          <t>NYNÄSHAMN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46236</v>
      </c>
      <c r="F59" t="inlineStr">
        <is>
          <t>STOCKHOLMS LÄN</t>
        </is>
      </c>
      <c r="G59" t="inlineStr">
        <is>
          <t>NYNÄSHAMN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44574</v>
      </c>
      <c r="E60" s="1" t="n">
        <v>46236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46236</v>
      </c>
      <c r="F61" t="inlineStr">
        <is>
          <t>STOCKHOLMS LÄN</t>
        </is>
      </c>
      <c r="G61" t="inlineStr">
        <is>
          <t>NYNÄSHAMN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46236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46236</v>
      </c>
      <c r="F63" t="inlineStr">
        <is>
          <t>STOCKHOLMS LÄN</t>
        </is>
      </c>
      <c r="G63" t="inlineStr">
        <is>
          <t>NYNÄSHAMN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45928</v>
      </c>
      <c r="E64" s="1" t="n">
        <v>46236</v>
      </c>
      <c r="F64" t="inlineStr">
        <is>
          <t>STOCKHOLMS LÄN</t>
        </is>
      </c>
      <c r="G64" t="inlineStr">
        <is>
          <t>NYNÄSHAMN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45935</v>
      </c>
      <c r="E65" s="1" t="n">
        <v>46236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45086</v>
      </c>
      <c r="E66" s="1" t="n">
        <v>46236</v>
      </c>
      <c r="F66" t="inlineStr">
        <is>
          <t>STOCKHOLMS LÄN</t>
        </is>
      </c>
      <c r="G66" t="inlineStr">
        <is>
          <t>NYNÄSHAMN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46236</v>
      </c>
      <c r="F67" t="inlineStr">
        <is>
          <t>STOCKHOLMS LÄN</t>
        </is>
      </c>
      <c r="G67" t="inlineStr">
        <is>
          <t>NYNÄSHAMN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46236</v>
      </c>
      <c r="F68" t="inlineStr">
        <is>
          <t>STOCKHOLMS LÄN</t>
        </is>
      </c>
      <c r="G68" t="inlineStr">
        <is>
          <t>NYNÄSHAMN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46236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46236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44624-2023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45184</v>
      </c>
      <c r="E71" s="1" t="n">
        <v>46236</v>
      </c>
      <c r="F71" t="inlineStr">
        <is>
          <t>STOCKHOLMS LÄN</t>
        </is>
      </c>
      <c r="G71" t="inlineStr">
        <is>
          <t>NYNÄSHAMN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46236</v>
      </c>
      <c r="F72" t="inlineStr">
        <is>
          <t>STOCKHOLMS LÄN</t>
        </is>
      </c>
      <c r="G72" t="inlineStr">
        <is>
          <t>NYNÄSHAMN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51954-2025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45952</v>
      </c>
      <c r="E73" s="1" t="n">
        <v>46236</v>
      </c>
      <c r="F73" t="inlineStr">
        <is>
          <t>STOCKHOLMS LÄN</t>
        </is>
      </c>
      <c r="G73" t="inlineStr">
        <is>
          <t>NYNÄSHAMN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47089-2023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46236</v>
      </c>
      <c r="F74" t="inlineStr">
        <is>
          <t>STOCKHOLMS LÄN</t>
        </is>
      </c>
      <c r="G74" t="inlineStr">
        <is>
          <t>NYNÄSHAMN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46236</v>
      </c>
      <c r="F75" t="inlineStr">
        <is>
          <t>STOCKHOLMS LÄN</t>
        </is>
      </c>
      <c r="G75" t="inlineStr">
        <is>
          <t>NYNÄSHAMN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46236</v>
      </c>
      <c r="F76" t="inlineStr">
        <is>
          <t>STOCKHOLMS LÄN</t>
        </is>
      </c>
      <c r="G76" t="inlineStr">
        <is>
          <t>NYNÄSHAMN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45113</v>
      </c>
      <c r="E77" s="1" t="n">
        <v>46236</v>
      </c>
      <c r="F77" t="inlineStr">
        <is>
          <t>STOCKHOLMS LÄN</t>
        </is>
      </c>
      <c r="G77" t="inlineStr">
        <is>
          <t>NYNÄSHAMN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46236</v>
      </c>
      <c r="F78" t="inlineStr">
        <is>
          <t>STOCKHOLMS LÄN</t>
        </is>
      </c>
      <c r="G78" t="inlineStr">
        <is>
          <t>NYNÄSHAMN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30476-2026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46210</v>
      </c>
      <c r="E79" s="1" t="n">
        <v>46236</v>
      </c>
      <c r="F79" t="inlineStr">
        <is>
          <t>STOCKHOLMS LÄN</t>
        </is>
      </c>
      <c r="G79" t="inlineStr">
        <is>
          <t>NYNÄSHAMN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44424</v>
      </c>
      <c r="E80" s="1" t="n">
        <v>46236</v>
      </c>
      <c r="F80" t="inlineStr">
        <is>
          <t>STOCKHOLMS LÄN</t>
        </is>
      </c>
      <c r="G80" t="inlineStr">
        <is>
          <t>NYNÄSHAMN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46236</v>
      </c>
      <c r="F81" t="inlineStr">
        <is>
          <t>STOCKHOLMS LÄN</t>
        </is>
      </c>
      <c r="G81" t="inlineStr">
        <is>
          <t>NYNÄSHAMN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46236</v>
      </c>
      <c r="F82" t="inlineStr">
        <is>
          <t>STOCKHOLMS LÄN</t>
        </is>
      </c>
      <c r="G82" t="inlineStr">
        <is>
          <t>NYNÄSHAMN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46236</v>
      </c>
      <c r="F83" t="inlineStr">
        <is>
          <t>STOCKHOLMS LÄN</t>
        </is>
      </c>
      <c r="G83" t="inlineStr">
        <is>
          <t>NYNÄSHAMN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46236</v>
      </c>
      <c r="F84" t="inlineStr">
        <is>
          <t>STOCKHOLMS LÄN</t>
        </is>
      </c>
      <c r="G84" t="inlineStr">
        <is>
          <t>NYNÄSHAMN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46236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46236</v>
      </c>
      <c r="F86" t="inlineStr">
        <is>
          <t>STOCKHOLMS LÄN</t>
        </is>
      </c>
      <c r="G86" t="inlineStr">
        <is>
          <t>NYNÄSHAMN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44942</v>
      </c>
      <c r="E87" s="1" t="n">
        <v>46236</v>
      </c>
      <c r="F87" t="inlineStr">
        <is>
          <t>STOCKHOLMS LÄN</t>
        </is>
      </c>
      <c r="G87" t="inlineStr">
        <is>
          <t>NYNÄSHAMN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46236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46236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10224-2023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46236</v>
      </c>
      <c r="F90" t="inlineStr">
        <is>
          <t>STOCKHOLMS LÄN</t>
        </is>
      </c>
      <c r="G90" t="inlineStr">
        <is>
          <t>NYNÄSHAMN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46236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46236</v>
      </c>
      <c r="F92" t="inlineStr">
        <is>
          <t>STOCKHOLMS LÄN</t>
        </is>
      </c>
      <c r="G92" t="inlineStr">
        <is>
          <t>NYNÄSHAMN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46236</v>
      </c>
      <c r="F93" t="inlineStr">
        <is>
          <t>STOCKHOLMS LÄN</t>
        </is>
      </c>
      <c r="G93" t="inlineStr">
        <is>
          <t>NYNÄSHAMN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46236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44941</v>
      </c>
      <c r="E95" s="1" t="n">
        <v>46236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21192-2023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45062</v>
      </c>
      <c r="E96" s="1" t="n">
        <v>46236</v>
      </c>
      <c r="F96" t="inlineStr">
        <is>
          <t>STOCKHOLMS LÄN</t>
        </is>
      </c>
      <c r="G96" t="inlineStr">
        <is>
          <t>NYNÄSHAMN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45561</v>
      </c>
      <c r="E97" s="1" t="n">
        <v>46236</v>
      </c>
      <c r="F97" t="inlineStr">
        <is>
          <t>STOCKHOLMS LÄN</t>
        </is>
      </c>
      <c r="G97" t="inlineStr">
        <is>
          <t>NYNÄSHAMN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36052-2023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45149</v>
      </c>
      <c r="E98" s="1" t="n">
        <v>46236</v>
      </c>
      <c r="F98" t="inlineStr">
        <is>
          <t>STOCKHOLMS LÄN</t>
        </is>
      </c>
      <c r="G98" t="inlineStr">
        <is>
          <t>NYNÄSHAMN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12031-2026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46085</v>
      </c>
      <c r="E99" s="1" t="n">
        <v>46236</v>
      </c>
      <c r="F99" t="inlineStr">
        <is>
          <t>STOCKHOLMS LÄN</t>
        </is>
      </c>
      <c r="G99" t="inlineStr">
        <is>
          <t>NYNÄSHAMN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12032-2026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46085</v>
      </c>
      <c r="E100" s="1" t="n">
        <v>46236</v>
      </c>
      <c r="F100" t="inlineStr">
        <is>
          <t>STOCKHOLMS LÄN</t>
        </is>
      </c>
      <c r="G100" t="inlineStr">
        <is>
          <t>NYNÄSHAMN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46236</v>
      </c>
      <c r="F101" t="inlineStr">
        <is>
          <t>STOCKHOLMS LÄN</t>
        </is>
      </c>
      <c r="G101" t="inlineStr">
        <is>
          <t>NYNÄSHAMN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45209</v>
      </c>
      <c r="E102" s="1" t="n">
        <v>46236</v>
      </c>
      <c r="F102" t="inlineStr">
        <is>
          <t>STOCKHOLMS LÄN</t>
        </is>
      </c>
      <c r="G102" t="inlineStr">
        <is>
          <t>NYNÄSHAMN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41680-2023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45173</v>
      </c>
      <c r="E103" s="1" t="n">
        <v>46236</v>
      </c>
      <c r="F103" t="inlineStr">
        <is>
          <t>STOCKHOLMS LÄN</t>
        </is>
      </c>
      <c r="G103" t="inlineStr">
        <is>
          <t>NYNÄSHAMN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46236</v>
      </c>
      <c r="F104" t="inlineStr">
        <is>
          <t>STOCKHOLMS LÄN</t>
        </is>
      </c>
      <c r="G104" t="inlineStr">
        <is>
          <t>NYNÄSHAMN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45274</v>
      </c>
      <c r="E105" s="1" t="n">
        <v>46236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44574</v>
      </c>
      <c r="E106" s="1" t="n">
        <v>46236</v>
      </c>
      <c r="F106" t="inlineStr">
        <is>
          <t>STOCKHOLMS LÄN</t>
        </is>
      </c>
      <c r="G106" t="inlineStr">
        <is>
          <t>NYNÄSHAMN</t>
        </is>
      </c>
      <c r="H106" t="inlineStr">
        <is>
          <t>Kommuner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45779</v>
      </c>
      <c r="E107" s="1" t="n">
        <v>46236</v>
      </c>
      <c r="F107" t="inlineStr">
        <is>
          <t>STOCKHOLMS LÄN</t>
        </is>
      </c>
      <c r="G107" t="inlineStr">
        <is>
          <t>NYNÄSHAMN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46236</v>
      </c>
      <c r="F108" t="inlineStr">
        <is>
          <t>STOCKHOLMS LÄN</t>
        </is>
      </c>
      <c r="G108" t="inlineStr">
        <is>
          <t>NYNÄSHAMN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46236</v>
      </c>
      <c r="F109" t="inlineStr">
        <is>
          <t>STOCKHOLMS LÄN</t>
        </is>
      </c>
      <c r="G109" t="inlineStr">
        <is>
          <t>NYNÄSHAMN</t>
        </is>
      </c>
      <c r="H109" t="inlineStr">
        <is>
          <t>Kommuner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46236</v>
      </c>
      <c r="F110" t="inlineStr">
        <is>
          <t>STOCKHOLMS LÄN</t>
        </is>
      </c>
      <c r="G110" t="inlineStr">
        <is>
          <t>NYNÄSHAMN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46236</v>
      </c>
      <c r="F111" t="inlineStr">
        <is>
          <t>STOCKHOLMS LÄN</t>
        </is>
      </c>
      <c r="G111" t="inlineStr">
        <is>
          <t>NYNÄSHAMN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7180-2024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45344</v>
      </c>
      <c r="E112" s="1" t="n">
        <v>46236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60977-2022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44908</v>
      </c>
      <c r="E113" s="1" t="n">
        <v>46236</v>
      </c>
      <c r="F113" t="inlineStr">
        <is>
          <t>STOCKHOLMS LÄN</t>
        </is>
      </c>
      <c r="G113" t="inlineStr">
        <is>
          <t>NYNÄSHAMN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45173</v>
      </c>
      <c r="E114" s="1" t="n">
        <v>46236</v>
      </c>
      <c r="F114" t="inlineStr">
        <is>
          <t>STOCKHOLMS LÄN</t>
        </is>
      </c>
      <c r="G114" t="inlineStr">
        <is>
          <t>NYNÄSHAMN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46236</v>
      </c>
      <c r="F115" t="inlineStr">
        <is>
          <t>STOCKHOLMS LÄN</t>
        </is>
      </c>
      <c r="G115" t="inlineStr">
        <is>
          <t>NYNÄSHAMN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46236</v>
      </c>
      <c r="F116" t="inlineStr">
        <is>
          <t>STOCKHOLMS LÄN</t>
        </is>
      </c>
      <c r="G116" t="inlineStr">
        <is>
          <t>NYNÄSHAMN</t>
        </is>
      </c>
      <c r="H116" t="inlineStr">
        <is>
          <t>Kommuner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46236</v>
      </c>
      <c r="F117" t="inlineStr">
        <is>
          <t>STOCKHOLMS LÄN</t>
        </is>
      </c>
      <c r="G117" t="inlineStr">
        <is>
          <t>NYNÄSHAMN</t>
        </is>
      </c>
      <c r="H117" t="inlineStr">
        <is>
          <t>Övriga statliga verk och myndigheter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46236</v>
      </c>
      <c r="F118" t="inlineStr">
        <is>
          <t>STOCKHOLMS LÄN</t>
        </is>
      </c>
      <c r="G118" t="inlineStr">
        <is>
          <t>NYNÄSHAMN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46236</v>
      </c>
      <c r="F119" t="inlineStr">
        <is>
          <t>STOCKHOLMS LÄN</t>
        </is>
      </c>
      <c r="G119" t="inlineStr">
        <is>
          <t>NYNÄSHAMN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46236</v>
      </c>
      <c r="F120" t="inlineStr">
        <is>
          <t>STOCKHOLMS LÄN</t>
        </is>
      </c>
      <c r="G120" t="inlineStr">
        <is>
          <t>NYNÄSHAMN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36496-2025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45869</v>
      </c>
      <c r="E121" s="1" t="n">
        <v>46236</v>
      </c>
      <c r="F121" t="inlineStr">
        <is>
          <t>STOCKHOLMS LÄN</t>
        </is>
      </c>
      <c r="G121" t="inlineStr">
        <is>
          <t>NYNÄSHAMN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45610</v>
      </c>
      <c r="E122" s="1" t="n">
        <v>46236</v>
      </c>
      <c r="F122" t="inlineStr">
        <is>
          <t>STOCKHOLMS LÄN</t>
        </is>
      </c>
      <c r="G122" t="inlineStr">
        <is>
          <t>NYNÄSHAMN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2697-2024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45482</v>
      </c>
      <c r="E123" s="1" t="n">
        <v>46236</v>
      </c>
      <c r="F123" t="inlineStr">
        <is>
          <t>STOCKHOLMS LÄN</t>
        </is>
      </c>
      <c r="G123" t="inlineStr">
        <is>
          <t>NYNÄSHAMN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4477-2022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44787</v>
      </c>
      <c r="E124" s="1" t="n">
        <v>46236</v>
      </c>
      <c r="F124" t="inlineStr">
        <is>
          <t>STOCKHOLMS LÄN</t>
        </is>
      </c>
      <c r="G124" t="inlineStr">
        <is>
          <t>NYNÄSHAMN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1845-2026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46198</v>
      </c>
      <c r="E125" s="1" t="n">
        <v>46236</v>
      </c>
      <c r="F125" t="inlineStr">
        <is>
          <t>STOCKHOLMS LÄN</t>
        </is>
      </c>
      <c r="G125" t="inlineStr">
        <is>
          <t>NYNÄSHAMN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2026-08-02T01:53:08Z</dcterms:created>
  <dcterms:modified xmlns:dcterms="http://purl.org/dc/terms/" xmlns:xsi="http://www.w3.org/2001/XMLSchema-instance" xsi:type="dcterms:W3CDTF">2026-08-02T01:53:08Z</dcterms:modified>
</cp:coreProperties>
</file>