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46254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46254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46254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46254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46254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46254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46254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46254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46254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46254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46254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46254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46254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46254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46254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47093-2023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46254</v>
      </c>
      <c r="F24" t="inlineStr">
        <is>
          <t>STOCKHOLMS LÄN</t>
        </is>
      </c>
      <c r="G24" t="inlineStr">
        <is>
          <t>NYNÄSHAMN</t>
        </is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Hasselticka
Myskmadra</t>
        </is>
      </c>
      <c r="W24">
        <f>HYPERLINK("https://klasma.github.io/Logging_0192/artfynd/A 47093-2023 artfynd.xlsx", "A 47093-2023")</f>
        <v/>
      </c>
      <c r="X24">
        <f>HYPERLINK("https://klasma.github.io/Logging_0192/kartor/A 47093-2023 karta.png", "A 47093-2023")</f>
        <v/>
      </c>
      <c r="Y24">
        <f>HYPERLINK("https://klasma.github.io/Logging_0192/kartor_geotiff/A 47093-2023 georefererad karta.tif", "A 47093-2023")</f>
        <v/>
      </c>
      <c r="AA24">
        <f>HYPERLINK("https://klasma.github.io/Logging_0192/klagomål/A 47093-2023 FSC-klagomål.docx", "A 47093-2023")</f>
        <v/>
      </c>
      <c r="AB24">
        <f>HYPERLINK("https://klasma.github.io/Logging_0192/klagomålsmail/A 47093-2023 FSC-klagomål mail.docx", "A 47093-2023")</f>
        <v/>
      </c>
      <c r="AC24">
        <f>HYPERLINK("https://klasma.github.io/Logging_0192/tillsyn/A 47093-2023 tillsynsbegäran.docx", "A 47093-2023")</f>
        <v/>
      </c>
      <c r="AD24">
        <f>HYPERLINK("https://klasma.github.io/Logging_0192/tillsynsmail/A 47093-2023 tillsynsbegäran mail.docx", "A 47093-2023")</f>
        <v/>
      </c>
    </row>
    <row r="25" ht="15" customHeight="1">
      <c r="A25" t="inlineStr">
        <is>
          <t>A 8939-2023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46254</v>
      </c>
      <c r="F25" t="inlineStr">
        <is>
          <t>STOCKHOLMS LÄN</t>
        </is>
      </c>
      <c r="G25" t="inlineStr">
        <is>
          <t>NYNÄSHAMN</t>
        </is>
      </c>
      <c r="I25" t="n">
        <v>2.7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8939-2023 artfynd.xlsx", "A 8939-2023")</f>
        <v/>
      </c>
      <c r="X25">
        <f>HYPERLINK("https://klasma.github.io/Logging_0192/kartor/A 8939-2023 karta.png", "A 8939-2023")</f>
        <v/>
      </c>
      <c r="Y25">
        <f>HYPERLINK("https://klasma.github.io/Logging_0192/kartor_geotiff/A 8939-2023 georefererad karta.tif", "A 8939-2023")</f>
        <v/>
      </c>
      <c r="AA25">
        <f>HYPERLINK("https://klasma.github.io/Logging_0192/klagomål/A 8939-2023 FSC-klagomål.docx", "A 8939-2023")</f>
        <v/>
      </c>
      <c r="AB25">
        <f>HYPERLINK("https://klasma.github.io/Logging_0192/klagomålsmail/A 8939-2023 FSC-klagomål mail.docx", "A 8939-2023")</f>
        <v/>
      </c>
      <c r="AC25">
        <f>HYPERLINK("https://klasma.github.io/Logging_0192/tillsyn/A 8939-2023 tillsynsbegäran.docx", "A 8939-2023")</f>
        <v/>
      </c>
      <c r="AD25">
        <f>HYPERLINK("https://klasma.github.io/Logging_0192/tillsynsmail/A 8939-2023 tillsynsbegäran mail.docx", "A 8939-2023")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46254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46254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46254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46254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46254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46254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46254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46254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46254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46254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46254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46254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46254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46254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46254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46254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46254</v>
      </c>
      <c r="F48" t="inlineStr">
        <is>
          <t>STOCKHOLMS LÄN</t>
        </is>
      </c>
      <c r="G48" t="inlineStr">
        <is>
          <t>NYNÄSHAMN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46254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46254</v>
      </c>
      <c r="F50" t="inlineStr">
        <is>
          <t>STOCKHOLMS LÄN</t>
        </is>
      </c>
      <c r="G50" t="inlineStr">
        <is>
          <t>NYNÄSHAMN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46254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46254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9020-2023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46254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46254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46254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45266</v>
      </c>
      <c r="E56" s="1" t="n">
        <v>46254</v>
      </c>
      <c r="F56" t="inlineStr">
        <is>
          <t>STOCKHOLMS LÄN</t>
        </is>
      </c>
      <c r="G56" t="inlineStr">
        <is>
          <t>NYNÄSHAMN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44574</v>
      </c>
      <c r="E57" s="1" t="n">
        <v>46254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45149</v>
      </c>
      <c r="E58" s="1" t="n">
        <v>46254</v>
      </c>
      <c r="F58" t="inlineStr">
        <is>
          <t>STOCKHOLMS LÄN</t>
        </is>
      </c>
      <c r="G58" t="inlineStr">
        <is>
          <t>NYNÄSHAMN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46254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46254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46254</v>
      </c>
      <c r="F61" t="inlineStr">
        <is>
          <t>STOCKHOLMS LÄN</t>
        </is>
      </c>
      <c r="G61" t="inlineStr">
        <is>
          <t>NYNÄSHAMN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17990-2024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46254</v>
      </c>
      <c r="F62" t="inlineStr">
        <is>
          <t>STOCKHOLMS LÄN</t>
        </is>
      </c>
      <c r="G62" t="inlineStr">
        <is>
          <t>NYNÄSHAMN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46254</v>
      </c>
      <c r="F63" t="inlineStr">
        <is>
          <t>STOCKHOLMS LÄN</t>
        </is>
      </c>
      <c r="G63" t="inlineStr">
        <is>
          <t>NYNÄSHAMN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46254</v>
      </c>
      <c r="F64" t="inlineStr">
        <is>
          <t>STOCKHOLMS LÄN</t>
        </is>
      </c>
      <c r="G64" t="inlineStr">
        <is>
          <t>NYNÄSHAMN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45173</v>
      </c>
      <c r="E65" s="1" t="n">
        <v>46254</v>
      </c>
      <c r="F65" t="inlineStr">
        <is>
          <t>STOCKHOLMS LÄN</t>
        </is>
      </c>
      <c r="G65" t="inlineStr">
        <is>
          <t>NYNÄSHAMN</t>
        </is>
      </c>
      <c r="I65" t="n">
        <v>12.3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46254</v>
      </c>
      <c r="F66" t="inlineStr">
        <is>
          <t>STOCKHOLMS LÄN</t>
        </is>
      </c>
      <c r="G66" t="inlineStr">
        <is>
          <t>NYNÄSHAMN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46254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46254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44941</v>
      </c>
      <c r="E69" s="1" t="n">
        <v>46254</v>
      </c>
      <c r="F69" t="inlineStr">
        <is>
          <t>STOCKHOLMS LÄN</t>
        </is>
      </c>
      <c r="G69" t="inlineStr">
        <is>
          <t>NYNÄSHAMN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45062</v>
      </c>
      <c r="E70" s="1" t="n">
        <v>46254</v>
      </c>
      <c r="F70" t="inlineStr">
        <is>
          <t>STOCKHOLMS LÄN</t>
        </is>
      </c>
      <c r="G70" t="inlineStr">
        <is>
          <t>NYNÄSHAMN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46254</v>
      </c>
      <c r="F71" t="inlineStr">
        <is>
          <t>STOCKHOLMS LÄN</t>
        </is>
      </c>
      <c r="G71" t="inlineStr">
        <is>
          <t>NYNÄSHAMN</t>
        </is>
      </c>
      <c r="H71" t="inlineStr">
        <is>
          <t>Kommuner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45086</v>
      </c>
      <c r="E72" s="1" t="n">
        <v>46254</v>
      </c>
      <c r="F72" t="inlineStr">
        <is>
          <t>STOCKHOLMS LÄN</t>
        </is>
      </c>
      <c r="G72" t="inlineStr">
        <is>
          <t>NYNÄSHAMN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46254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46237</v>
      </c>
      <c r="E74" s="1" t="n">
        <v>46254</v>
      </c>
      <c r="F74" t="inlineStr">
        <is>
          <t>STOCKHOLMS LÄN</t>
        </is>
      </c>
      <c r="G74" t="inlineStr">
        <is>
          <t>NYNÄSHAMN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46237</v>
      </c>
      <c r="E75" s="1" t="n">
        <v>46254</v>
      </c>
      <c r="F75" t="inlineStr">
        <is>
          <t>STOCKHOLMS LÄN</t>
        </is>
      </c>
      <c r="G75" t="inlineStr">
        <is>
          <t>NYNÄSHAMN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46254</v>
      </c>
      <c r="F76" t="inlineStr">
        <is>
          <t>STOCKHOLMS LÄN</t>
        </is>
      </c>
      <c r="G76" t="inlineStr">
        <is>
          <t>NYNÄSHAMN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46254</v>
      </c>
      <c r="F77" t="inlineStr">
        <is>
          <t>STOCKHOLMS LÄN</t>
        </is>
      </c>
      <c r="G77" t="inlineStr">
        <is>
          <t>NYNÄSHAMN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62878-2023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46254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51954-2025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45952</v>
      </c>
      <c r="E79" s="1" t="n">
        <v>46254</v>
      </c>
      <c r="F79" t="inlineStr">
        <is>
          <t>STOCKHOLMS LÄN</t>
        </is>
      </c>
      <c r="G79" t="inlineStr">
        <is>
          <t>NYNÄSHAMN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46245</v>
      </c>
      <c r="E80" s="1" t="n">
        <v>46254</v>
      </c>
      <c r="F80" t="inlineStr">
        <is>
          <t>STOCKHOLMS LÄN</t>
        </is>
      </c>
      <c r="G80" t="inlineStr">
        <is>
          <t>NYNÄSHAMN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46245</v>
      </c>
      <c r="E81" s="1" t="n">
        <v>46254</v>
      </c>
      <c r="F81" t="inlineStr">
        <is>
          <t>STOCKHOLMS LÄN</t>
        </is>
      </c>
      <c r="G81" t="inlineStr">
        <is>
          <t>NYNÄSHAMN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46245</v>
      </c>
      <c r="E82" s="1" t="n">
        <v>46254</v>
      </c>
      <c r="F82" t="inlineStr">
        <is>
          <t>STOCKHOLMS LÄN</t>
        </is>
      </c>
      <c r="G82" t="inlineStr">
        <is>
          <t>NYNÄSHAMN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46244</v>
      </c>
      <c r="E83" s="1" t="n">
        <v>46254</v>
      </c>
      <c r="F83" t="inlineStr">
        <is>
          <t>STOCKHOLMS LÄN</t>
        </is>
      </c>
      <c r="G83" t="inlineStr">
        <is>
          <t>NYNÄSHAMN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46254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45469</v>
      </c>
      <c r="E85" s="1" t="n">
        <v>46254</v>
      </c>
      <c r="F85" t="inlineStr">
        <is>
          <t>STOCKHOLMS LÄN</t>
        </is>
      </c>
      <c r="G85" t="inlineStr">
        <is>
          <t>NYNÄSHAMN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46254</v>
      </c>
      <c r="F86" t="inlineStr">
        <is>
          <t>STOCKHOLMS LÄN</t>
        </is>
      </c>
      <c r="G86" t="inlineStr">
        <is>
          <t>NYNÄSHAMN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46254</v>
      </c>
      <c r="F87" t="inlineStr">
        <is>
          <t>STOCKHOLMS LÄN</t>
        </is>
      </c>
      <c r="G87" t="inlineStr">
        <is>
          <t>NYNÄSHAMN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46254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46254</v>
      </c>
      <c r="F89" t="inlineStr">
        <is>
          <t>STOCKHOLMS LÄN</t>
        </is>
      </c>
      <c r="G89" t="inlineStr">
        <is>
          <t>NYNÄSHAMN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46254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46254</v>
      </c>
      <c r="F91" t="inlineStr">
        <is>
          <t>STOCKHOLMS LÄN</t>
        </is>
      </c>
      <c r="G91" t="inlineStr">
        <is>
          <t>NYNÄSHAMN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46254</v>
      </c>
      <c r="F92" t="inlineStr">
        <is>
          <t>STOCKHOLMS LÄN</t>
        </is>
      </c>
      <c r="G92" t="inlineStr">
        <is>
          <t>NYNÄSHAMN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46254</v>
      </c>
      <c r="F93" t="inlineStr">
        <is>
          <t>STOCKHOLMS LÄN</t>
        </is>
      </c>
      <c r="G93" t="inlineStr">
        <is>
          <t>NYNÄSHAMN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46254</v>
      </c>
      <c r="F94" t="inlineStr">
        <is>
          <t>STOCKHOLMS LÄN</t>
        </is>
      </c>
      <c r="G94" t="inlineStr">
        <is>
          <t>NYNÄSHAMN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46254</v>
      </c>
      <c r="F95" t="inlineStr">
        <is>
          <t>STOCKHOLMS LÄN</t>
        </is>
      </c>
      <c r="G95" t="inlineStr">
        <is>
          <t>NYNÄSHAMN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46254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46254</v>
      </c>
      <c r="F97" t="inlineStr">
        <is>
          <t>STOCKHOLMS LÄN</t>
        </is>
      </c>
      <c r="G97" t="inlineStr">
        <is>
          <t>NYNÄSHAMN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46254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46254</v>
      </c>
      <c r="F99" t="inlineStr">
        <is>
          <t>STOCKHOLMS LÄN</t>
        </is>
      </c>
      <c r="G99" t="inlineStr">
        <is>
          <t>NYNÄSHAMN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46254</v>
      </c>
      <c r="F100" t="inlineStr">
        <is>
          <t>STOCKHOLMS LÄN</t>
        </is>
      </c>
      <c r="G100" t="inlineStr">
        <is>
          <t>NYNÄSHAMN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46052</v>
      </c>
      <c r="E101" s="1" t="n">
        <v>46254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46254</v>
      </c>
      <c r="F102" t="inlineStr">
        <is>
          <t>STOCKHOLMS LÄN</t>
        </is>
      </c>
      <c r="G102" t="inlineStr">
        <is>
          <t>NYNÄSHAMN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46254</v>
      </c>
      <c r="F103" t="inlineStr">
        <is>
          <t>STOCKHOLMS LÄN</t>
        </is>
      </c>
      <c r="G103" t="inlineStr">
        <is>
          <t>NYNÄSHAMN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46254</v>
      </c>
      <c r="F104" t="inlineStr">
        <is>
          <t>STOCKHOLMS LÄN</t>
        </is>
      </c>
      <c r="G104" t="inlineStr">
        <is>
          <t>NYNÄSHAMN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44680</v>
      </c>
      <c r="E105" s="1" t="n">
        <v>46254</v>
      </c>
      <c r="F105" t="inlineStr">
        <is>
          <t>STOCKHOLMS LÄN</t>
        </is>
      </c>
      <c r="G105" t="inlineStr">
        <is>
          <t>NYNÄSHAMN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46254</v>
      </c>
      <c r="F106" t="inlineStr">
        <is>
          <t>STOCKHOLMS LÄN</t>
        </is>
      </c>
      <c r="G106" t="inlineStr">
        <is>
          <t>NYNÄSHAMN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46254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46254</v>
      </c>
      <c r="F108" t="inlineStr">
        <is>
          <t>STOCKHOLMS LÄN</t>
        </is>
      </c>
      <c r="G108" t="inlineStr">
        <is>
          <t>NYNÄSHAMN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46254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46254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46254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45779</v>
      </c>
      <c r="E112" s="1" t="n">
        <v>46254</v>
      </c>
      <c r="F112" t="inlineStr">
        <is>
          <t>STOCKHOLMS LÄN</t>
        </is>
      </c>
      <c r="G112" t="inlineStr">
        <is>
          <t>NYNÄSHAMN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46254</v>
      </c>
      <c r="F113" t="inlineStr">
        <is>
          <t>STOCKHOLMS LÄN</t>
        </is>
      </c>
      <c r="G113" t="inlineStr">
        <is>
          <t>NYNÄSHAMN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46254</v>
      </c>
      <c r="F114" t="inlineStr">
        <is>
          <t>STOCKHOLMS LÄN</t>
        </is>
      </c>
      <c r="G114" t="inlineStr">
        <is>
          <t>NYNÄSHAMN</t>
        </is>
      </c>
      <c r="I114" t="n">
        <v>11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60977-2022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44908</v>
      </c>
      <c r="E115" s="1" t="n">
        <v>46254</v>
      </c>
      <c r="F115" t="inlineStr">
        <is>
          <t>STOCKHOLMS LÄN</t>
        </is>
      </c>
      <c r="G115" t="inlineStr">
        <is>
          <t>NYNÄSHAMN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46254</v>
      </c>
      <c r="F116" t="inlineStr">
        <is>
          <t>STOCKHOLMS LÄN</t>
        </is>
      </c>
      <c r="G116" t="inlineStr">
        <is>
          <t>NYNÄSHAMN</t>
        </is>
      </c>
      <c r="H116" t="inlineStr">
        <is>
          <t>Övriga statliga verk och myndigheter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46254</v>
      </c>
      <c r="F117" t="inlineStr">
        <is>
          <t>STOCKHOLMS LÄN</t>
        </is>
      </c>
      <c r="G117" t="inlineStr">
        <is>
          <t>NYNÄSHAMN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46254</v>
      </c>
      <c r="F118" t="inlineStr">
        <is>
          <t>STOCKHOLMS LÄN</t>
        </is>
      </c>
      <c r="G118" t="inlineStr">
        <is>
          <t>NYNÄSHAMN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46254</v>
      </c>
      <c r="F119" t="inlineStr">
        <is>
          <t>STOCKHOLMS LÄN</t>
        </is>
      </c>
      <c r="G119" t="inlineStr">
        <is>
          <t>NYNÄSHAMN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46254</v>
      </c>
      <c r="F120" t="inlineStr">
        <is>
          <t>STOCKHOLMS LÄN</t>
        </is>
      </c>
      <c r="G120" t="inlineStr">
        <is>
          <t>NYNÄSHAMN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46254</v>
      </c>
      <c r="F121" t="inlineStr">
        <is>
          <t>STOCKHOLMS LÄN</t>
        </is>
      </c>
      <c r="G121" t="inlineStr">
        <is>
          <t>NYNÄSHAMN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46254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46254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46254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2026-08-20T01:45:32Z</dcterms:created>
  <dcterms:modified xmlns:dcterms="http://purl.org/dc/terms/" xmlns:xsi="http://www.w3.org/2001/XMLSchema-instance" xsi:type="dcterms:W3CDTF">2026-08-20T01:45:32Z</dcterms:modified>
</cp:coreProperties>
</file>