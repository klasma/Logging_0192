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46317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46317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46317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46317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46317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46317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46317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46317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46317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46317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46317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46317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46317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46317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12033-2026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46085</v>
      </c>
      <c r="E22" s="1" t="n">
        <v>46317</v>
      </c>
      <c r="F22" t="inlineStr">
        <is>
          <t>STOCKHOLMS LÄN</t>
        </is>
      </c>
      <c r="G22" t="inlineStr">
        <is>
          <t>NYNÄSHAMN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Fjällvråk
Havsörn</t>
        </is>
      </c>
      <c r="W22">
        <f>HYPERLINK("https://klasma.github.io/Logging_0192/artfynd/A 12033-2026 artfynd.xlsx", "A 12033-2026")</f>
        <v/>
      </c>
      <c r="X22">
        <f>HYPERLINK("https://klasma.github.io/Logging_0192/kartor/A 12033-2026 karta.png", "A 12033-2026")</f>
        <v/>
      </c>
      <c r="Y22">
        <f>HYPERLINK("https://klasma.github.io/Logging_0192/kartor_geotiff/A 12033-2026 georefererad karta.tif", "A 12033-2026")</f>
        <v/>
      </c>
      <c r="AA22">
        <f>HYPERLINK("https://klasma.github.io/Logging_0192/klagomål/A 12033-2026 FSC-klagomål.docx", "A 12033-2026")</f>
        <v/>
      </c>
      <c r="AB22">
        <f>HYPERLINK("https://klasma.github.io/Logging_0192/klagomålsmail/A 12033-2026 FSC-klagomål mail.docx", "A 12033-2026")</f>
        <v/>
      </c>
      <c r="AC22">
        <f>HYPERLINK("https://klasma.github.io/Logging_0192/tillsyn/A 12033-2026 tillsynsbegäran.docx", "A 12033-2026")</f>
        <v/>
      </c>
      <c r="AD22">
        <f>HYPERLINK("https://klasma.github.io/Logging_0192/tillsynsmail/A 12033-2026 tillsynsbegäran mail.docx", "A 12033-2026")</f>
        <v/>
      </c>
      <c r="AE22">
        <f>HYPERLINK("https://klasma.github.io/Logging_0192/fåglar/A 12033-2026 prioriterade fågelarter.docx", "A 12033-2026")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46317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46317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46317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46317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46317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46317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46317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46317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46317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46317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46317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46317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46317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46317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46317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46317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46317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46317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46317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46317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46317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46317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46317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46317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46317</v>
      </c>
      <c r="F47" t="inlineStr">
        <is>
          <t>STOCKHOLMS LÄN</t>
        </is>
      </c>
      <c r="G47" t="inlineStr">
        <is>
          <t>NYNÄSHAMN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46317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46317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46317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44957</v>
      </c>
      <c r="E51" s="1" t="n">
        <v>46317</v>
      </c>
      <c r="F51" t="inlineStr">
        <is>
          <t>STOCKHOLMS LÄN</t>
        </is>
      </c>
      <c r="G51" t="inlineStr">
        <is>
          <t>NYNÄSHAMN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46317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46317</v>
      </c>
      <c r="F53" t="inlineStr">
        <is>
          <t>STOCKHOLMS LÄN</t>
        </is>
      </c>
      <c r="G53" t="inlineStr">
        <is>
          <t>NYNÄSHAMN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46317</v>
      </c>
      <c r="F54" t="inlineStr">
        <is>
          <t>STOCKHOLMS LÄN</t>
        </is>
      </c>
      <c r="G54" t="inlineStr">
        <is>
          <t>NYNÄSHAMN</t>
        </is>
      </c>
      <c r="H54" t="inlineStr">
        <is>
          <t>Övriga statliga verk och myndigheter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45928</v>
      </c>
      <c r="E55" s="1" t="n">
        <v>46317</v>
      </c>
      <c r="F55" t="inlineStr">
        <is>
          <t>STOCKHOLMS LÄN</t>
        </is>
      </c>
      <c r="G55" t="inlineStr">
        <is>
          <t>NYNÄSHAMN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45935</v>
      </c>
      <c r="E56" s="1" t="n">
        <v>46317</v>
      </c>
      <c r="F56" t="inlineStr">
        <is>
          <t>STOCKHOLMS LÄN</t>
        </is>
      </c>
      <c r="G56" t="inlineStr">
        <is>
          <t>NYNÄSHAMN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46317</v>
      </c>
      <c r="F57" t="inlineStr">
        <is>
          <t>STOCKHOLMS LÄN</t>
        </is>
      </c>
      <c r="G57" t="inlineStr">
        <is>
          <t>NYNÄSHAMN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46317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46317</v>
      </c>
      <c r="F59" t="inlineStr">
        <is>
          <t>STOCKHOLMS LÄN</t>
        </is>
      </c>
      <c r="G59" t="inlineStr">
        <is>
          <t>NYNÄSHAMN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46317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51954-2025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45952</v>
      </c>
      <c r="E61" s="1" t="n">
        <v>46317</v>
      </c>
      <c r="F61" t="inlineStr">
        <is>
          <t>STOCKHOLMS LÄN</t>
        </is>
      </c>
      <c r="G61" t="inlineStr">
        <is>
          <t>NYNÄSHAMN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46317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46317</v>
      </c>
      <c r="F63" t="inlineStr">
        <is>
          <t>STOCKHOLMS LÄN</t>
        </is>
      </c>
      <c r="G63" t="inlineStr">
        <is>
          <t>NYNÄSHAMN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46317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46317</v>
      </c>
      <c r="F65" t="inlineStr">
        <is>
          <t>STOCKHOLMS LÄN</t>
        </is>
      </c>
      <c r="G65" t="inlineStr">
        <is>
          <t>NYNÄSHAMN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46317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46317</v>
      </c>
      <c r="F67" t="inlineStr">
        <is>
          <t>STOCKHOLMS LÄN</t>
        </is>
      </c>
      <c r="G67" t="inlineStr">
        <is>
          <t>NYNÄSHAMN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46317</v>
      </c>
      <c r="F68" t="inlineStr">
        <is>
          <t>STOCKHOLMS LÄN</t>
        </is>
      </c>
      <c r="G68" t="inlineStr">
        <is>
          <t>NYNÄSHAMN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46317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46317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46317</v>
      </c>
      <c r="F71" t="inlineStr">
        <is>
          <t>STOCKHOLMS LÄN</t>
        </is>
      </c>
      <c r="G71" t="inlineStr">
        <is>
          <t>NYNÄSHAMN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46317</v>
      </c>
      <c r="F72" t="inlineStr">
        <is>
          <t>STOCKHOLMS LÄN</t>
        </is>
      </c>
      <c r="G72" t="inlineStr">
        <is>
          <t>NYNÄSHAMN</t>
        </is>
      </c>
      <c r="H72" t="inlineStr">
        <is>
          <t>Kyrkan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45196</v>
      </c>
      <c r="E73" s="1" t="n">
        <v>46317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46317</v>
      </c>
      <c r="F74" t="inlineStr">
        <is>
          <t>STOCKHOLMS LÄN</t>
        </is>
      </c>
      <c r="G74" t="inlineStr">
        <is>
          <t>NYNÄSHAMN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45140</v>
      </c>
      <c r="E75" s="1" t="n">
        <v>46317</v>
      </c>
      <c r="F75" t="inlineStr">
        <is>
          <t>STOCKHOLMS LÄN</t>
        </is>
      </c>
      <c r="G75" t="inlineStr">
        <is>
          <t>NYNÄSHAMN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46317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46317</v>
      </c>
      <c r="F77" t="inlineStr">
        <is>
          <t>STOCKHOLMS LÄN</t>
        </is>
      </c>
      <c r="G77" t="inlineStr">
        <is>
          <t>NYNÄSHAMN</t>
        </is>
      </c>
      <c r="I77" t="n">
        <v>11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46317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46317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60977-2022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44908</v>
      </c>
      <c r="E80" s="1" t="n">
        <v>46317</v>
      </c>
      <c r="F80" t="inlineStr">
        <is>
          <t>STOCKHOLMS LÄN</t>
        </is>
      </c>
      <c r="G80" t="inlineStr">
        <is>
          <t>NYNÄSHAMN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46317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46317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46317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46317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46317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46317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46317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46317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46317</v>
      </c>
      <c r="F89" t="inlineStr">
        <is>
          <t>STOCKHOLMS LÄN</t>
        </is>
      </c>
      <c r="G89" t="inlineStr">
        <is>
          <t>NYNÄSHAMN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46317</v>
      </c>
      <c r="F90" t="inlineStr">
        <is>
          <t>STOCKHOLMS LÄN</t>
        </is>
      </c>
      <c r="G90" t="inlineStr">
        <is>
          <t>NYNÄSHAMN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45239</v>
      </c>
      <c r="E91" s="1" t="n">
        <v>46317</v>
      </c>
      <c r="F91" t="inlineStr">
        <is>
          <t>STOCKHOLMS LÄN</t>
        </is>
      </c>
      <c r="G91" t="inlineStr">
        <is>
          <t>NYNÄSHAMN</t>
        </is>
      </c>
      <c r="H91" t="inlineStr">
        <is>
          <t>Kommuner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46317</v>
      </c>
      <c r="F92" t="inlineStr">
        <is>
          <t>STOCKHOLMS LÄN</t>
        </is>
      </c>
      <c r="G92" t="inlineStr">
        <is>
          <t>NYNÄSHAMN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45344</v>
      </c>
      <c r="E93" s="1" t="n">
        <v>46317</v>
      </c>
      <c r="F93" t="inlineStr">
        <is>
          <t>STOCKHOLMS LÄN</t>
        </is>
      </c>
      <c r="G93" t="inlineStr">
        <is>
          <t>NYNÄSHAMN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45173</v>
      </c>
      <c r="E94" s="1" t="n">
        <v>46317</v>
      </c>
      <c r="F94" t="inlineStr">
        <is>
          <t>STOCKHOLMS LÄN</t>
        </is>
      </c>
      <c r="G94" t="inlineStr">
        <is>
          <t>NYNÄSHAMN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46317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46317</v>
      </c>
      <c r="F96" t="inlineStr">
        <is>
          <t>STOCKHOLMS LÄN</t>
        </is>
      </c>
      <c r="G96" t="inlineStr">
        <is>
          <t>NYNÄSHAMN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12032-2026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46085</v>
      </c>
      <c r="E97" s="1" t="n">
        <v>46317</v>
      </c>
      <c r="F97" t="inlineStr">
        <is>
          <t>STOCKHOLMS LÄN</t>
        </is>
      </c>
      <c r="G97" t="inlineStr">
        <is>
          <t>NYNÄSHAMN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46317</v>
      </c>
      <c r="F98" t="inlineStr">
        <is>
          <t>STOCKHOLMS LÄN</t>
        </is>
      </c>
      <c r="G98" t="inlineStr">
        <is>
          <t>NYNÄSHAMN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30476-2026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46317</v>
      </c>
      <c r="F99" t="inlineStr">
        <is>
          <t>STOCKHOLMS LÄN</t>
        </is>
      </c>
      <c r="G99" t="inlineStr">
        <is>
          <t>NYNÄSHAMN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46317</v>
      </c>
      <c r="F100" t="inlineStr">
        <is>
          <t>STOCKHOLMS LÄN</t>
        </is>
      </c>
      <c r="G100" t="inlineStr">
        <is>
          <t>NYNÄSHAMN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46317</v>
      </c>
      <c r="F101" t="inlineStr">
        <is>
          <t>STOCKHOLMS LÄN</t>
        </is>
      </c>
      <c r="G101" t="inlineStr">
        <is>
          <t>NYNÄSHAMN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45184</v>
      </c>
      <c r="E102" s="1" t="n">
        <v>46317</v>
      </c>
      <c r="F102" t="inlineStr">
        <is>
          <t>STOCKHOLMS LÄN</t>
        </is>
      </c>
      <c r="G102" t="inlineStr">
        <is>
          <t>NYNÄSHAMN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46317</v>
      </c>
      <c r="F103" t="inlineStr">
        <is>
          <t>STOCKHOLMS LÄN</t>
        </is>
      </c>
      <c r="G103" t="inlineStr">
        <is>
          <t>NYNÄSHAMN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46237</v>
      </c>
      <c r="E104" s="1" t="n">
        <v>46317</v>
      </c>
      <c r="F104" t="inlineStr">
        <is>
          <t>STOCKHOLMS LÄN</t>
        </is>
      </c>
      <c r="G104" t="inlineStr">
        <is>
          <t>NYNÄSHAMN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45520</v>
      </c>
      <c r="E105" s="1" t="n">
        <v>46317</v>
      </c>
      <c r="F105" t="inlineStr">
        <is>
          <t>STOCKHOLMS LÄN</t>
        </is>
      </c>
      <c r="G105" t="inlineStr">
        <is>
          <t>NYNÄSHAMN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45146</v>
      </c>
      <c r="E106" s="1" t="n">
        <v>46317</v>
      </c>
      <c r="F106" t="inlineStr">
        <is>
          <t>STOCKHOLMS LÄN</t>
        </is>
      </c>
      <c r="G106" t="inlineStr">
        <is>
          <t>NYNÄSHAMN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46317</v>
      </c>
      <c r="F107" t="inlineStr">
        <is>
          <t>STOCKHOLMS LÄN</t>
        </is>
      </c>
      <c r="G107" t="inlineStr">
        <is>
          <t>NYNÄSHAMN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46244</v>
      </c>
      <c r="E108" s="1" t="n">
        <v>46317</v>
      </c>
      <c r="F108" t="inlineStr">
        <is>
          <t>STOCKHOLMS LÄN</t>
        </is>
      </c>
      <c r="G108" t="inlineStr">
        <is>
          <t>NYNÄSHAMN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46317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46317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46317</v>
      </c>
      <c r="F111" t="inlineStr">
        <is>
          <t>STOCKHOLMS LÄN</t>
        </is>
      </c>
      <c r="G111" t="inlineStr">
        <is>
          <t>NYNÄSHAMN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46317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46317</v>
      </c>
      <c r="F113" t="inlineStr">
        <is>
          <t>STOCKHOLMS LÄN</t>
        </is>
      </c>
      <c r="G113" t="inlineStr">
        <is>
          <t>NYNÄSHAMN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46317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46317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41767-2024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45561</v>
      </c>
      <c r="E116" s="1" t="n">
        <v>46317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46317</v>
      </c>
      <c r="F117" t="inlineStr">
        <is>
          <t>STOCKHOLMS LÄN</t>
        </is>
      </c>
      <c r="G117" t="inlineStr">
        <is>
          <t>NYNÄSHAMN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46317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46317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46317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46317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2026-10-22T01:53:49Z</dcterms:created>
  <dcterms:modified xmlns:dcterms="http://purl.org/dc/terms/" xmlns:xsi="http://www.w3.org/2001/XMLSchema-instance" xsi:type="dcterms:W3CDTF">2026-10-22T01:53:49Z</dcterms:modified>
</cp:coreProperties>
</file>