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46266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46266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46266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46266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46266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46266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46266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46266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46266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46266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46266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46266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46266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46266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12033-2026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46085</v>
      </c>
      <c r="E23" s="1" t="n">
        <v>46266</v>
      </c>
      <c r="F23" t="inlineStr">
        <is>
          <t>STOCKHOLMS LÄN</t>
        </is>
      </c>
      <c r="G23" t="inlineStr">
        <is>
          <t>NYNÄSHAMN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Fjällvråk
Havsörn</t>
        </is>
      </c>
      <c r="W23">
        <f>HYPERLINK("https://klasma.github.io/Logging_0192/artfynd/A 12033-2026 artfynd.xlsx", "A 12033-2026")</f>
        <v/>
      </c>
      <c r="X23">
        <f>HYPERLINK("https://klasma.github.io/Logging_0192/kartor/A 12033-2026 karta.png", "A 12033-2026")</f>
        <v/>
      </c>
      <c r="Y23">
        <f>HYPERLINK("https://klasma.github.io/Logging_0192/kartor_geotiff/A 12033-2026 georefererad karta.tif", "A 12033-2026")</f>
        <v/>
      </c>
      <c r="AA23">
        <f>HYPERLINK("https://klasma.github.io/Logging_0192/klagomål/A 12033-2026 FSC-klagomål.docx", "A 12033-2026")</f>
        <v/>
      </c>
      <c r="AB23">
        <f>HYPERLINK("https://klasma.github.io/Logging_0192/klagomålsmail/A 12033-2026 FSC-klagomål mail.docx", "A 12033-2026")</f>
        <v/>
      </c>
      <c r="AC23">
        <f>HYPERLINK("https://klasma.github.io/Logging_0192/tillsyn/A 12033-2026 tillsynsbegäran.docx", "A 12033-2026")</f>
        <v/>
      </c>
      <c r="AD23">
        <f>HYPERLINK("https://klasma.github.io/Logging_0192/tillsynsmail/A 12033-2026 tillsynsbegäran mail.docx", "A 12033-2026")</f>
        <v/>
      </c>
      <c r="AE23">
        <f>HYPERLINK("https://klasma.github.io/Logging_0192/fåglar/A 12033-2026 prioriterade fågelarter.docx", "A 12033-2026")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46266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46266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46266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46266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46266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46266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46266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46266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46266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46266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46266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46266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46266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46266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46266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46266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46266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46266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46266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46266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46266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46266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45779</v>
      </c>
      <c r="E48" s="1" t="n">
        <v>46266</v>
      </c>
      <c r="F48" t="inlineStr">
        <is>
          <t>STOCKHOLMS LÄN</t>
        </is>
      </c>
      <c r="G48" t="inlineStr">
        <is>
          <t>NYNÄSHAMN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45747</v>
      </c>
      <c r="E49" s="1" t="n">
        <v>46266</v>
      </c>
      <c r="F49" t="inlineStr">
        <is>
          <t>STOCKHOLMS LÄN</t>
        </is>
      </c>
      <c r="G49" t="inlineStr">
        <is>
          <t>NYNÄSHAMN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46266</v>
      </c>
      <c r="F50" t="inlineStr">
        <is>
          <t>STOCKHOLMS LÄN</t>
        </is>
      </c>
      <c r="G50" t="inlineStr">
        <is>
          <t>NYNÄSHAMN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46266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26190-2022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46266</v>
      </c>
      <c r="F52" t="inlineStr">
        <is>
          <t>STOCKHOLMS LÄN</t>
        </is>
      </c>
      <c r="G52" t="inlineStr">
        <is>
          <t>NYNÄSHAMN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45935</v>
      </c>
      <c r="E53" s="1" t="n">
        <v>46266</v>
      </c>
      <c r="F53" t="inlineStr">
        <is>
          <t>STOCKHOLMS LÄN</t>
        </is>
      </c>
      <c r="G53" t="inlineStr">
        <is>
          <t>NYNÄSHAMN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22730-2025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46266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7180-2024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45344</v>
      </c>
      <c r="E55" s="1" t="n">
        <v>46266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46266</v>
      </c>
      <c r="F56" t="inlineStr">
        <is>
          <t>STOCKHOLMS LÄN</t>
        </is>
      </c>
      <c r="G56" t="inlineStr">
        <is>
          <t>NYNÄSHAMN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46266</v>
      </c>
      <c r="F57" t="inlineStr">
        <is>
          <t>STOCKHOLMS LÄN</t>
        </is>
      </c>
      <c r="G57" t="inlineStr">
        <is>
          <t>NYNÄSHAMN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45928</v>
      </c>
      <c r="E58" s="1" t="n">
        <v>46266</v>
      </c>
      <c r="F58" t="inlineStr">
        <is>
          <t>STOCKHOLMS LÄN</t>
        </is>
      </c>
      <c r="G58" t="inlineStr">
        <is>
          <t>NYNÄSHAMN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46266</v>
      </c>
      <c r="F59" t="inlineStr">
        <is>
          <t>STOCKHOLMS LÄN</t>
        </is>
      </c>
      <c r="G59" t="inlineStr">
        <is>
          <t>NYNÄSHAMN</t>
        </is>
      </c>
      <c r="H59" t="inlineStr">
        <is>
          <t>Övriga statliga verk och myndigheter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46266</v>
      </c>
      <c r="F60" t="inlineStr">
        <is>
          <t>STOCKHOLMS LÄN</t>
        </is>
      </c>
      <c r="G60" t="inlineStr">
        <is>
          <t>NYNÄSHAMN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46266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46266</v>
      </c>
      <c r="F62" t="inlineStr">
        <is>
          <t>STOCKHOLMS LÄN</t>
        </is>
      </c>
      <c r="G62" t="inlineStr">
        <is>
          <t>NYNÄSHAMN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46266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46266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46266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46266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46266</v>
      </c>
      <c r="F67" t="inlineStr">
        <is>
          <t>STOCKHOLMS LÄN</t>
        </is>
      </c>
      <c r="G67" t="inlineStr">
        <is>
          <t>NYNÄSHAMN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46266</v>
      </c>
      <c r="F68" t="inlineStr">
        <is>
          <t>STOCKHOLMS LÄN</t>
        </is>
      </c>
      <c r="G68" t="inlineStr">
        <is>
          <t>NYNÄSHAMN</t>
        </is>
      </c>
      <c r="H68" t="inlineStr">
        <is>
          <t>Kommuner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46266</v>
      </c>
      <c r="F69" t="inlineStr">
        <is>
          <t>STOCKHOLMS LÄN</t>
        </is>
      </c>
      <c r="G69" t="inlineStr">
        <is>
          <t>NYNÄSHAMN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46266</v>
      </c>
      <c r="F70" t="inlineStr">
        <is>
          <t>STOCKHOLMS LÄN</t>
        </is>
      </c>
      <c r="G70" t="inlineStr">
        <is>
          <t>NYNÄSHAMN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46266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46266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45149</v>
      </c>
      <c r="E73" s="1" t="n">
        <v>46266</v>
      </c>
      <c r="F73" t="inlineStr">
        <is>
          <t>STOCKHOLMS LÄN</t>
        </is>
      </c>
      <c r="G73" t="inlineStr">
        <is>
          <t>NYNÄSHAMN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46266</v>
      </c>
      <c r="F74" t="inlineStr">
        <is>
          <t>STOCKHOLMS LÄN</t>
        </is>
      </c>
      <c r="G74" t="inlineStr">
        <is>
          <t>NYNÄSHAMN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46266</v>
      </c>
      <c r="F75" t="inlineStr">
        <is>
          <t>STOCKHOLMS LÄN</t>
        </is>
      </c>
      <c r="G75" t="inlineStr">
        <is>
          <t>NYNÄSHAMN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46266</v>
      </c>
      <c r="F76" t="inlineStr">
        <is>
          <t>STOCKHOLMS LÄN</t>
        </is>
      </c>
      <c r="G76" t="inlineStr">
        <is>
          <t>NYNÄSHAMN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46266</v>
      </c>
      <c r="F77" t="inlineStr">
        <is>
          <t>STOCKHOLMS LÄN</t>
        </is>
      </c>
      <c r="G77" t="inlineStr">
        <is>
          <t>NYNÄSHAMN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46266</v>
      </c>
      <c r="F78" t="inlineStr">
        <is>
          <t>STOCKHOLMS LÄN</t>
        </is>
      </c>
      <c r="G78" t="inlineStr">
        <is>
          <t>NYNÄSHAMN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45173</v>
      </c>
      <c r="E79" s="1" t="n">
        <v>46266</v>
      </c>
      <c r="F79" t="inlineStr">
        <is>
          <t>STOCKHOLMS LÄN</t>
        </is>
      </c>
      <c r="G79" t="inlineStr">
        <is>
          <t>NYNÄSHAMN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46266</v>
      </c>
      <c r="F80" t="inlineStr">
        <is>
          <t>STOCKHOLMS LÄN</t>
        </is>
      </c>
      <c r="G80" t="inlineStr">
        <is>
          <t>NYNÄSHAMN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44941</v>
      </c>
      <c r="E81" s="1" t="n">
        <v>46266</v>
      </c>
      <c r="F81" t="inlineStr">
        <is>
          <t>STOCKHOLMS LÄN</t>
        </is>
      </c>
      <c r="G81" t="inlineStr">
        <is>
          <t>NYNÄSHAMN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46266</v>
      </c>
      <c r="F82" t="inlineStr">
        <is>
          <t>STOCKHOLMS LÄN</t>
        </is>
      </c>
      <c r="G82" t="inlineStr">
        <is>
          <t>NYNÄSHAMN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46266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46266</v>
      </c>
      <c r="F84" t="inlineStr">
        <is>
          <t>STOCKHOLMS LÄN</t>
        </is>
      </c>
      <c r="G84" t="inlineStr">
        <is>
          <t>NYNÄSHAMN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45274</v>
      </c>
      <c r="E85" s="1" t="n">
        <v>46266</v>
      </c>
      <c r="F85" t="inlineStr">
        <is>
          <t>STOCKHOLMS LÄN</t>
        </is>
      </c>
      <c r="G85" t="inlineStr">
        <is>
          <t>NYNÄSHAMN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46266</v>
      </c>
      <c r="F86" t="inlineStr">
        <is>
          <t>STOCKHOLMS LÄN</t>
        </is>
      </c>
      <c r="G86" t="inlineStr">
        <is>
          <t>NYNÄSHAMN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46266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46266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46266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46266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46266</v>
      </c>
      <c r="F91" t="inlineStr">
        <is>
          <t>STOCKHOLMS LÄN</t>
        </is>
      </c>
      <c r="G91" t="inlineStr">
        <is>
          <t>NYNÄSHAMN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46266</v>
      </c>
      <c r="F92" t="inlineStr">
        <is>
          <t>STOCKHOLMS LÄN</t>
        </is>
      </c>
      <c r="G92" t="inlineStr">
        <is>
          <t>NYNÄSHAMN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46266</v>
      </c>
      <c r="F93" t="inlineStr">
        <is>
          <t>STOCKHOLMS LÄN</t>
        </is>
      </c>
      <c r="G93" t="inlineStr">
        <is>
          <t>NYNÄSHAMN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44908</v>
      </c>
      <c r="E94" s="1" t="n">
        <v>46266</v>
      </c>
      <c r="F94" t="inlineStr">
        <is>
          <t>STOCKHOLMS LÄN</t>
        </is>
      </c>
      <c r="G94" t="inlineStr">
        <is>
          <t>NYNÄSHAMN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46266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46266</v>
      </c>
      <c r="F96" t="inlineStr">
        <is>
          <t>STOCKHOLMS LÄN</t>
        </is>
      </c>
      <c r="G96" t="inlineStr">
        <is>
          <t>NYNÄSHAMN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46266</v>
      </c>
      <c r="F97" t="inlineStr">
        <is>
          <t>STOCKHOLMS LÄN</t>
        </is>
      </c>
      <c r="G97" t="inlineStr">
        <is>
          <t>NYNÄSHAMN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41767-2024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45561</v>
      </c>
      <c r="E98" s="1" t="n">
        <v>46266</v>
      </c>
      <c r="F98" t="inlineStr">
        <is>
          <t>STOCKHOLMS LÄN</t>
        </is>
      </c>
      <c r="G98" t="inlineStr">
        <is>
          <t>NYNÄSHAMN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46266</v>
      </c>
      <c r="F99" t="inlineStr">
        <is>
          <t>STOCKHOLMS LÄN</t>
        </is>
      </c>
      <c r="G99" t="inlineStr">
        <is>
          <t>NYNÄSHAMN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47089-2023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46266</v>
      </c>
      <c r="F100" t="inlineStr">
        <is>
          <t>STOCKHOLMS LÄN</t>
        </is>
      </c>
      <c r="G100" t="inlineStr">
        <is>
          <t>NYNÄSHAMN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46266</v>
      </c>
      <c r="F101" t="inlineStr">
        <is>
          <t>STOCKHOLMS LÄN</t>
        </is>
      </c>
      <c r="G101" t="inlineStr">
        <is>
          <t>NYNÄSHAMN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46266</v>
      </c>
      <c r="F102" t="inlineStr">
        <is>
          <t>STOCKHOLMS LÄN</t>
        </is>
      </c>
      <c r="G102" t="inlineStr">
        <is>
          <t>NYNÄSHAMN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46170</v>
      </c>
      <c r="E103" s="1" t="n">
        <v>46266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46266</v>
      </c>
      <c r="F104" t="inlineStr">
        <is>
          <t>STOCKHOLMS LÄN</t>
        </is>
      </c>
      <c r="G104" t="inlineStr">
        <is>
          <t>NYNÄSHAMN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46266</v>
      </c>
      <c r="F105" t="inlineStr">
        <is>
          <t>STOCKHOLMS LÄN</t>
        </is>
      </c>
      <c r="G105" t="inlineStr">
        <is>
          <t>NYNÄSHAMN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46266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44680</v>
      </c>
      <c r="E107" s="1" t="n">
        <v>46266</v>
      </c>
      <c r="F107" t="inlineStr">
        <is>
          <t>STOCKHOLMS LÄN</t>
        </is>
      </c>
      <c r="G107" t="inlineStr">
        <is>
          <t>NYNÄSHAMN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45520</v>
      </c>
      <c r="E108" s="1" t="n">
        <v>46266</v>
      </c>
      <c r="F108" t="inlineStr">
        <is>
          <t>STOCKHOLMS LÄN</t>
        </is>
      </c>
      <c r="G108" t="inlineStr">
        <is>
          <t>NYNÄSHAMN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46266</v>
      </c>
      <c r="F109" t="inlineStr">
        <is>
          <t>STOCKHOLMS LÄN</t>
        </is>
      </c>
      <c r="G109" t="inlineStr">
        <is>
          <t>NYNÄSHAMN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46266</v>
      </c>
      <c r="F110" t="inlineStr">
        <is>
          <t>STOCKHOLMS LÄN</t>
        </is>
      </c>
      <c r="G110" t="inlineStr">
        <is>
          <t>NYNÄSHAMN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46266</v>
      </c>
      <c r="F111" t="inlineStr">
        <is>
          <t>STOCKHOLMS LÄN</t>
        </is>
      </c>
      <c r="G111" t="inlineStr">
        <is>
          <t>NYNÄSHAMN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46237</v>
      </c>
      <c r="E112" s="1" t="n">
        <v>46266</v>
      </c>
      <c r="F112" t="inlineStr">
        <is>
          <t>STOCKHOLMS LÄN</t>
        </is>
      </c>
      <c r="G112" t="inlineStr">
        <is>
          <t>NYNÄSHAMN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46266</v>
      </c>
      <c r="F113" t="inlineStr">
        <is>
          <t>STOCKHOLMS LÄN</t>
        </is>
      </c>
      <c r="G113" t="inlineStr">
        <is>
          <t>NYNÄSHAMN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46266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46266</v>
      </c>
      <c r="F115" t="inlineStr">
        <is>
          <t>STOCKHOLMS LÄN</t>
        </is>
      </c>
      <c r="G115" t="inlineStr">
        <is>
          <t>NYNÄSHAMN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46266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46266</v>
      </c>
      <c r="F117" t="inlineStr">
        <is>
          <t>STOCKHOLMS LÄN</t>
        </is>
      </c>
      <c r="G117" t="inlineStr">
        <is>
          <t>NYNÄSHAMN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46244</v>
      </c>
      <c r="E118" s="1" t="n">
        <v>46266</v>
      </c>
      <c r="F118" t="inlineStr">
        <is>
          <t>STOCKHOLMS LÄN</t>
        </is>
      </c>
      <c r="G118" t="inlineStr">
        <is>
          <t>NYNÄSHAMN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12032-2026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46085</v>
      </c>
      <c r="E119" s="1" t="n">
        <v>46266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46266</v>
      </c>
      <c r="F120" t="inlineStr">
        <is>
          <t>STOCKHOLMS LÄN</t>
        </is>
      </c>
      <c r="G120" t="inlineStr">
        <is>
          <t>NYNÄSHAMN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46266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46266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46266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2026-09-01T02:05:27Z</dcterms:created>
  <dcterms:modified xmlns:dcterms="http://purl.org/dc/terms/" xmlns:xsi="http://www.w3.org/2001/XMLSchema-instance" xsi:type="dcterms:W3CDTF">2026-09-01T02:05:27Z</dcterms:modified>
</cp:coreProperties>
</file>