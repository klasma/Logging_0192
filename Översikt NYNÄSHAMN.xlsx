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46227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46227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46227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46227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46227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46227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46227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46227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52261-2022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46227</v>
      </c>
      <c r="F10" t="inlineStr">
        <is>
          <t>STOCKHOLMS LÄN</t>
        </is>
      </c>
      <c r="G10" t="inlineStr">
        <is>
          <t>NYNÄSHAMN</t>
        </is>
      </c>
      <c r="I10" t="n">
        <v>3.8</v>
      </c>
      <c r="J10" t="n">
        <v>1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9</v>
      </c>
      <c r="U10" t="n">
        <v>9</v>
      </c>
      <c r="V10" s="2" t="inlineStr">
        <is>
          <t>Tallticka
Vedskivlav
Hasselticka
Blåsippa</t>
        </is>
      </c>
      <c r="W10">
        <f>HYPERLINK("https://klasma.github.io/Logging_0192/artfynd/A 52261-2022 artfynd.xlsx", "A 52261-2022")</f>
        <v/>
      </c>
      <c r="X10">
        <f>HYPERLINK("https://klasma.github.io/Logging_0192/kartor/A 52261-2022 karta.png", "A 52261-2022")</f>
        <v/>
      </c>
      <c r="Y10">
        <f>HYPERLINK("https://klasma.github.io/Logging_0192/kartor_geotiff/A 52261-2022 georefererad karta.tif", "A 52261-2022")</f>
        <v/>
      </c>
      <c r="AA10">
        <f>HYPERLINK("https://klasma.github.io/Logging_0192/klagomål/A 52261-2022 FSC-klagomål.docx", "A 52261-2022")</f>
        <v/>
      </c>
      <c r="AB10">
        <f>HYPERLINK("https://klasma.github.io/Logging_0192/klagomålsmail/A 52261-2022 FSC-klagomål mail.docx", "A 52261-2022")</f>
        <v/>
      </c>
      <c r="AC10">
        <f>HYPERLINK("https://klasma.github.io/Logging_0192/tillsyn/A 52261-2022 tillsynsbegäran.docx", "A 52261-2022")</f>
        <v/>
      </c>
      <c r="AD10">
        <f>HYPERLINK("https://klasma.github.io/Logging_0192/tillsynsmail/A 52261-2022 tillsynsbegäran mail.docx", "A 52261-2022")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46227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46227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46227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22716-2025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45789</v>
      </c>
      <c r="E14" s="1" t="n">
        <v>46227</v>
      </c>
      <c r="F14" t="inlineStr">
        <is>
          <t>STOCKHOLMS LÄN</t>
        </is>
      </c>
      <c r="G14" t="inlineStr">
        <is>
          <t>NYNÄSHAMN</t>
        </is>
      </c>
      <c r="H14" t="inlineStr">
        <is>
          <t>Kommuner</t>
        </is>
      </c>
      <c r="I14" t="n">
        <v>2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Björksplintborre
Stekelbock
Revlummer</t>
        </is>
      </c>
      <c r="W14">
        <f>HYPERLINK("https://klasma.github.io/Logging_0192/artfynd/A 22716-2025 artfynd.xlsx", "A 22716-2025")</f>
        <v/>
      </c>
      <c r="X14">
        <f>HYPERLINK("https://klasma.github.io/Logging_0192/kartor/A 22716-2025 karta.png", "A 22716-2025")</f>
        <v/>
      </c>
      <c r="Y14">
        <f>HYPERLINK("https://klasma.github.io/Logging_0192/kartor_geotiff/A 22716-2025 georefererad karta.tif", "A 22716-2025")</f>
        <v/>
      </c>
      <c r="AA14">
        <f>HYPERLINK("https://klasma.github.io/Logging_0192/klagomål/A 22716-2025 FSC-klagomål.docx", "A 22716-2025")</f>
        <v/>
      </c>
      <c r="AB14">
        <f>HYPERLINK("https://klasma.github.io/Logging_0192/klagomålsmail/A 22716-2025 FSC-klagomål mail.docx", "A 22716-2025")</f>
        <v/>
      </c>
      <c r="AC14">
        <f>HYPERLINK("https://klasma.github.io/Logging_0192/tillsyn/A 22716-2025 tillsynsbegäran.docx", "A 22716-2025")</f>
        <v/>
      </c>
      <c r="AD14">
        <f>HYPERLINK("https://klasma.github.io/Logging_0192/tillsynsmail/A 22716-2025 tillsynsbegäran mail.docx", "A 22716-2025")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46227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46227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46227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46227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46227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46227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46227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t="n">
        <v>5</v>
      </c>
      <c r="V21" s="2" t="inlineStr">
        <is>
          <t>Tallticka
Blåsippa</t>
        </is>
      </c>
      <c r="W21">
        <f>HYPERLINK("https://klasma.github.io/Logging_0192/artfynd/A 1561-2023 artfynd.xlsx", "A 1561-2023")</f>
        <v/>
      </c>
      <c r="X21">
        <f>HYPERLINK("https://klasma.github.io/Logging_0192/kartor/A 1561-2023 karta.png", "A 1561-2023")</f>
        <v/>
      </c>
      <c r="Y21">
        <f>HYPERLINK("https://klasma.github.io/Logging_0192/kartor_geotiff/A 1561-2023 georefererad karta.tif", "A 1561-2023")</f>
        <v/>
      </c>
      <c r="AA21">
        <f>HYPERLINK("https://klasma.github.io/Logging_0192/klagomål/A 1561-2023 FSC-klagomål.docx", "A 1561-2023")</f>
        <v/>
      </c>
      <c r="AB21">
        <f>HYPERLINK("https://klasma.github.io/Logging_0192/klagomålsmail/A 1561-2023 FSC-klagomål mail.docx", "A 1561-2023")</f>
        <v/>
      </c>
      <c r="AC21">
        <f>HYPERLINK("https://klasma.github.io/Logging_0192/tillsyn/A 1561-2023 tillsynsbegäran.docx", "A 1561-2023")</f>
        <v/>
      </c>
      <c r="AD21">
        <f>HYPERLINK("https://klasma.github.io/Logging_0192/tillsynsmail/A 1561-2023 tillsynsbegäran mail.docx", "A 1561-2023")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46227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Blåsippa
Gullviva</t>
        </is>
      </c>
      <c r="W22">
        <f>HYPERLINK("https://klasma.github.io/Logging_0192/artfynd/A 64189-2023 artfynd.xlsx", "A 64189-2023")</f>
        <v/>
      </c>
      <c r="X22">
        <f>HYPERLINK("https://klasma.github.io/Logging_0192/kartor/A 64189-2023 karta.png", "A 64189-2023")</f>
        <v/>
      </c>
      <c r="Y22">
        <f>HYPERLINK("https://klasma.github.io/Logging_0192/kartor_geotiff/A 64189-2023 georefererad karta.tif", "A 64189-2023")</f>
        <v/>
      </c>
      <c r="AA22">
        <f>HYPERLINK("https://klasma.github.io/Logging_0192/klagomål/A 64189-2023 FSC-klagomål.docx", "A 64189-2023")</f>
        <v/>
      </c>
      <c r="AB22">
        <f>HYPERLINK("https://klasma.github.io/Logging_0192/klagomålsmail/A 64189-2023 FSC-klagomål mail.docx", "A 64189-2023")</f>
        <v/>
      </c>
      <c r="AC22">
        <f>HYPERLINK("https://klasma.github.io/Logging_0192/tillsyn/A 64189-2023 tillsynsbegäran.docx", "A 64189-2023")</f>
        <v/>
      </c>
      <c r="AD22">
        <f>HYPERLINK("https://klasma.github.io/Logging_0192/tillsynsmail/A 64189-2023 tillsynsbegäran mail.docx", "A 64189-2023")</f>
        <v/>
      </c>
    </row>
    <row r="23" ht="15" customHeight="1">
      <c r="A23" t="inlineStr">
        <is>
          <t>A 12033-2026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46085</v>
      </c>
      <c r="E23" s="1" t="n">
        <v>46227</v>
      </c>
      <c r="F23" t="inlineStr">
        <is>
          <t>STOCKHOLMS LÄN</t>
        </is>
      </c>
      <c r="G23" t="inlineStr">
        <is>
          <t>NYNÄSHAMN</t>
        </is>
      </c>
      <c r="I23" t="n">
        <v>2.4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Fjällvråk
Havsörn</t>
        </is>
      </c>
      <c r="W23">
        <f>HYPERLINK("https://klasma.github.io/Logging_0192/artfynd/A 12033-2026 artfynd.xlsx", "A 12033-2026")</f>
        <v/>
      </c>
      <c r="X23">
        <f>HYPERLINK("https://klasma.github.io/Logging_0192/kartor/A 12033-2026 karta.png", "A 12033-2026")</f>
        <v/>
      </c>
      <c r="Y23">
        <f>HYPERLINK("https://klasma.github.io/Logging_0192/kartor_geotiff/A 12033-2026 georefererad karta.tif", "A 12033-2026")</f>
        <v/>
      </c>
      <c r="AA23">
        <f>HYPERLINK("https://klasma.github.io/Logging_0192/klagomål/A 12033-2026 FSC-klagomål.docx", "A 12033-2026")</f>
        <v/>
      </c>
      <c r="AB23">
        <f>HYPERLINK("https://klasma.github.io/Logging_0192/klagomålsmail/A 12033-2026 FSC-klagomål mail.docx", "A 12033-2026")</f>
        <v/>
      </c>
      <c r="AC23">
        <f>HYPERLINK("https://klasma.github.io/Logging_0192/tillsyn/A 12033-2026 tillsynsbegäran.docx", "A 12033-2026")</f>
        <v/>
      </c>
      <c r="AD23">
        <f>HYPERLINK("https://klasma.github.io/Logging_0192/tillsynsmail/A 12033-2026 tillsynsbegäran mail.docx", "A 12033-2026")</f>
        <v/>
      </c>
      <c r="AE23">
        <f>HYPERLINK("https://klasma.github.io/Logging_0192/fåglar/A 12033-2026 prioriterade fågelarter.docx", "A 12033-2026")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46227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46227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46227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38771-2021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44410</v>
      </c>
      <c r="E27" s="1" t="n">
        <v>46227</v>
      </c>
      <c r="F27" t="inlineStr">
        <is>
          <t>STOCKHOLMS LÄN</t>
        </is>
      </c>
      <c r="G27" t="inlineStr">
        <is>
          <t>NYNÄSHAMN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Gullviva</t>
        </is>
      </c>
      <c r="W27">
        <f>HYPERLINK("https://klasma.github.io/Logging_0192/artfynd/A 38771-2021 artfynd.xlsx", "A 38771-2021")</f>
        <v/>
      </c>
      <c r="X27">
        <f>HYPERLINK("https://klasma.github.io/Logging_0192/kartor/A 38771-2021 karta.png", "A 38771-2021")</f>
        <v/>
      </c>
      <c r="Y27">
        <f>HYPERLINK("https://klasma.github.io/Logging_0192/kartor_geotiff/A 38771-2021 georefererad karta.tif", "A 38771-2021")</f>
        <v/>
      </c>
      <c r="AA27">
        <f>HYPERLINK("https://klasma.github.io/Logging_0192/klagomål/A 38771-2021 FSC-klagomål.docx", "A 38771-2021")</f>
        <v/>
      </c>
      <c r="AB27">
        <f>HYPERLINK("https://klasma.github.io/Logging_0192/klagomålsmail/A 38771-2021 FSC-klagomål mail.docx", "A 38771-2021")</f>
        <v/>
      </c>
      <c r="AC27">
        <f>HYPERLINK("https://klasma.github.io/Logging_0192/tillsyn/A 38771-2021 tillsynsbegäran.docx", "A 38771-2021")</f>
        <v/>
      </c>
      <c r="AD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44917</v>
      </c>
      <c r="E28" s="1" t="n">
        <v>46227</v>
      </c>
      <c r="F28" t="inlineStr">
        <is>
          <t>STOCKHOLMS LÄN</t>
        </is>
      </c>
      <c r="G28" t="inlineStr">
        <is>
          <t>NYNÄSHAMN</t>
        </is>
      </c>
      <c r="I28" t="n">
        <v>15.8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padda</t>
        </is>
      </c>
      <c r="W28">
        <f>HYPERLINK("https://klasma.github.io/Logging_0192/artfynd/A 62634-2022 artfynd.xlsx", "A 62634-2022")</f>
        <v/>
      </c>
      <c r="X28">
        <f>HYPERLINK("https://klasma.github.io/Logging_0192/kartor/A 62634-2022 karta.png", "A 62634-2022")</f>
        <v/>
      </c>
      <c r="Y28">
        <f>HYPERLINK("https://klasma.github.io/Logging_0192/kartor_geotiff/A 62634-2022 georefererad karta.tif", "A 62634-2022")</f>
        <v/>
      </c>
      <c r="AA28">
        <f>HYPERLINK("https://klasma.github.io/Logging_0192/klagomål/A 62634-2022 FSC-klagomål.docx", "A 62634-2022")</f>
        <v/>
      </c>
      <c r="AB28">
        <f>HYPERLINK("https://klasma.github.io/Logging_0192/klagomålsmail/A 62634-2022 FSC-klagomål mail.docx", "A 62634-2022")</f>
        <v/>
      </c>
      <c r="AC28">
        <f>HYPERLINK("https://klasma.github.io/Logging_0192/tillsyn/A 62634-2022 tillsynsbegäran.docx", "A 62634-2022")</f>
        <v/>
      </c>
      <c r="AD28">
        <f>HYPERLINK("https://klasma.github.io/Logging_0192/tillsynsmail/A 62634-2022 tillsynsbegäran mail.docx", "A 62634-2022")</f>
        <v/>
      </c>
    </row>
    <row r="29" ht="15" customHeight="1">
      <c r="A29" t="inlineStr">
        <is>
          <t>A 64196-2023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46227</v>
      </c>
      <c r="F29" t="inlineStr">
        <is>
          <t>STOCKHOLMS LÄN</t>
        </is>
      </c>
      <c r="G29" t="inlineStr">
        <is>
          <t>NYNÄSHAMN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HYPERLINK("https://klasma.github.io/Logging_0192/artfynd/A 64196-2023 artfynd.xlsx", "A 64196-2023")</f>
        <v/>
      </c>
      <c r="X29">
        <f>HYPERLINK("https://klasma.github.io/Logging_0192/kartor/A 64196-2023 karta.png", "A 64196-2023")</f>
        <v/>
      </c>
      <c r="Y29">
        <f>HYPERLINK("https://klasma.github.io/Logging_0192/kartor_geotiff/A 64196-2023 georefererad karta.tif", "A 64196-2023")</f>
        <v/>
      </c>
      <c r="AA29">
        <f>HYPERLINK("https://klasma.github.io/Logging_0192/klagomål/A 64196-2023 FSC-klagomål.docx", "A 64196-2023")</f>
        <v/>
      </c>
      <c r="AB29">
        <f>HYPERLINK("https://klasma.github.io/Logging_0192/klagomålsmail/A 64196-2023 FSC-klagomål mail.docx", "A 64196-2023")</f>
        <v/>
      </c>
      <c r="AC29">
        <f>HYPERLINK("https://klasma.github.io/Logging_0192/tillsyn/A 64196-2023 tillsynsbegäran.docx", "A 64196-2023")</f>
        <v/>
      </c>
      <c r="AD29">
        <f>HYPERLINK("https://klasma.github.io/Logging_0192/tillsynsmail/A 64196-2023 tillsynsbegäran mail.docx", "A 64196-2023")</f>
        <v/>
      </c>
    </row>
    <row r="30" ht="15" customHeight="1">
      <c r="A30" t="inlineStr">
        <is>
          <t>A 31842-2023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46227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3.8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Grön sköldmossa</t>
        </is>
      </c>
      <c r="W30">
        <f>HYPERLINK("https://klasma.github.io/Logging_0192/artfynd/A 31842-2023 artfynd.xlsx", "A 31842-2023")</f>
        <v/>
      </c>
      <c r="X30">
        <f>HYPERLINK("https://klasma.github.io/Logging_0192/kartor/A 31842-2023 karta.png", "A 31842-2023")</f>
        <v/>
      </c>
      <c r="Y30">
        <f>HYPERLINK("https://klasma.github.io/Logging_0192/kartor_geotiff/A 31842-2023 georefererad karta.tif", "A 31842-2023")</f>
        <v/>
      </c>
      <c r="AA30">
        <f>HYPERLINK("https://klasma.github.io/Logging_0192/klagomål/A 31842-2023 FSC-klagomål.docx", "A 31842-2023")</f>
        <v/>
      </c>
      <c r="AB30">
        <f>HYPERLINK("https://klasma.github.io/Logging_0192/klagomålsmail/A 31842-2023 FSC-klagomål mail.docx", "A 31842-2023")</f>
        <v/>
      </c>
      <c r="AC30">
        <f>HYPERLINK("https://klasma.github.io/Logging_0192/tillsyn/A 31842-2023 tillsynsbegäran.docx", "A 31842-2023")</f>
        <v/>
      </c>
      <c r="AD30">
        <f>HYPERLINK("https://klasma.github.io/Logging_0192/tillsynsmail/A 31842-2023 tillsynsbegäran mail.docx", "A 31842-2023")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46227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46227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46227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46227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46227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46227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9017-2023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44979</v>
      </c>
      <c r="E37" s="1" t="n">
        <v>46227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2.7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Tofsvipa</t>
        </is>
      </c>
      <c r="W37">
        <f>HYPERLINK("https://klasma.github.io/Logging_0192/artfynd/A 9017-2023 artfynd.xlsx", "A 9017-2023")</f>
        <v/>
      </c>
      <c r="X37">
        <f>HYPERLINK("https://klasma.github.io/Logging_0192/kartor/A 9017-2023 karta.png", "A 9017-2023")</f>
        <v/>
      </c>
      <c r="Y37">
        <f>HYPERLINK("https://klasma.github.io/Logging_0192/kartor_geotiff/A 9017-2023 georefererad karta.tif", "A 9017-2023")</f>
        <v/>
      </c>
      <c r="AA37">
        <f>HYPERLINK("https://klasma.github.io/Logging_0192/klagomål/A 9017-2023 FSC-klagomål.docx", "A 9017-2023")</f>
        <v/>
      </c>
      <c r="AB37">
        <f>HYPERLINK("https://klasma.github.io/Logging_0192/klagomålsmail/A 9017-2023 FSC-klagomål mail.docx", "A 9017-2023")</f>
        <v/>
      </c>
      <c r="AC37">
        <f>HYPERLINK("https://klasma.github.io/Logging_0192/tillsyn/A 9017-2023 tillsynsbegäran.docx", "A 9017-2023")</f>
        <v/>
      </c>
      <c r="AD37">
        <f>HYPERLINK("https://klasma.github.io/Logging_0192/tillsynsmail/A 9017-2023 tillsynsbegäran mail.docx", "A 9017-2023")</f>
        <v/>
      </c>
    </row>
    <row r="38" ht="15" customHeight="1">
      <c r="A38" t="inlineStr">
        <is>
          <t>A 32074-2023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46227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13.1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 kantarell</t>
        </is>
      </c>
      <c r="W38">
        <f>HYPERLINK("https://klasma.github.io/Logging_0192/artfynd/A 32074-2023 artfynd.xlsx", "A 32074-2023")</f>
        <v/>
      </c>
      <c r="X38">
        <f>HYPERLINK("https://klasma.github.io/Logging_0192/kartor/A 32074-2023 karta.png", "A 32074-2023")</f>
        <v/>
      </c>
      <c r="Y38">
        <f>HYPERLINK("https://klasma.github.io/Logging_0192/kartor_geotiff/A 32074-2023 georefererad karta.tif", "A 32074-2023")</f>
        <v/>
      </c>
      <c r="AA38">
        <f>HYPERLINK("https://klasma.github.io/Logging_0192/klagomål/A 32074-2023 FSC-klagomål.docx", "A 32074-2023")</f>
        <v/>
      </c>
      <c r="AB38">
        <f>HYPERLINK("https://klasma.github.io/Logging_0192/klagomålsmail/A 32074-2023 FSC-klagomål mail.docx", "A 32074-2023")</f>
        <v/>
      </c>
      <c r="AC38">
        <f>HYPERLINK("https://klasma.github.io/Logging_0192/tillsyn/A 32074-2023 tillsynsbegäran.docx", "A 32074-2023")</f>
        <v/>
      </c>
      <c r="AD38">
        <f>HYPERLINK("https://klasma.github.io/Logging_0192/tillsynsmail/A 32074-2023 tillsynsbegäran mail.docx", "A 32074-2023")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46227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46227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46227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46227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46227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46227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46227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46227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46227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46227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46227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45747</v>
      </c>
      <c r="E50" s="1" t="n">
        <v>46227</v>
      </c>
      <c r="F50" t="inlineStr">
        <is>
          <t>STOCKHOLMS LÄN</t>
        </is>
      </c>
      <c r="G50" t="inlineStr">
        <is>
          <t>NYNÄSHAMN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46227</v>
      </c>
      <c r="F51" t="inlineStr">
        <is>
          <t>STOCKHOLMS LÄN</t>
        </is>
      </c>
      <c r="G51" t="inlineStr">
        <is>
          <t>NYNÄSHAMN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46227</v>
      </c>
      <c r="F52" t="inlineStr">
        <is>
          <t>STOCKHOLMS LÄN</t>
        </is>
      </c>
      <c r="G52" t="inlineStr">
        <is>
          <t>NYNÄSHAMN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46227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46227</v>
      </c>
      <c r="F54" t="inlineStr">
        <is>
          <t>STOCKHOLMS LÄN</t>
        </is>
      </c>
      <c r="G54" t="inlineStr">
        <is>
          <t>NYNÄSHAMN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44574</v>
      </c>
      <c r="E55" s="1" t="n">
        <v>46227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45779</v>
      </c>
      <c r="E56" s="1" t="n">
        <v>46227</v>
      </c>
      <c r="F56" t="inlineStr">
        <is>
          <t>STOCKHOLMS LÄN</t>
        </is>
      </c>
      <c r="G56" t="inlineStr">
        <is>
          <t>NYNÄSHAMN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51954-2025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45952</v>
      </c>
      <c r="E57" s="1" t="n">
        <v>46227</v>
      </c>
      <c r="F57" t="inlineStr">
        <is>
          <t>STOCKHOLMS LÄN</t>
        </is>
      </c>
      <c r="G57" t="inlineStr">
        <is>
          <t>NYNÄSHAMN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46227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46227</v>
      </c>
      <c r="F59" t="inlineStr">
        <is>
          <t>STOCKHOLMS LÄN</t>
        </is>
      </c>
      <c r="G59" t="inlineStr">
        <is>
          <t>NYNÄSHAMN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45789</v>
      </c>
      <c r="E60" s="1" t="n">
        <v>46227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44957</v>
      </c>
      <c r="E61" s="1" t="n">
        <v>46227</v>
      </c>
      <c r="F61" t="inlineStr">
        <is>
          <t>STOCKHOLMS LÄN</t>
        </is>
      </c>
      <c r="G61" t="inlineStr">
        <is>
          <t>NYNÄSHAMN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46227</v>
      </c>
      <c r="F62" t="inlineStr">
        <is>
          <t>STOCKHOLMS LÄN</t>
        </is>
      </c>
      <c r="G62" t="inlineStr">
        <is>
          <t>NYNÄSHAMN</t>
        </is>
      </c>
      <c r="H62" t="inlineStr">
        <is>
          <t>Kommuner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44602</v>
      </c>
      <c r="E63" s="1" t="n">
        <v>46227</v>
      </c>
      <c r="F63" t="inlineStr">
        <is>
          <t>STOCKHOLMS LÄN</t>
        </is>
      </c>
      <c r="G63" t="inlineStr">
        <is>
          <t>NYNÄSHAMN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46227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46227</v>
      </c>
      <c r="F65" t="inlineStr">
        <is>
          <t>STOCKHOLMS LÄN</t>
        </is>
      </c>
      <c r="G65" t="inlineStr">
        <is>
          <t>NYNÄSHAMN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46227</v>
      </c>
      <c r="F66" t="inlineStr">
        <is>
          <t>STOCKHOLMS LÄN</t>
        </is>
      </c>
      <c r="G66" t="inlineStr">
        <is>
          <t>NYNÄSHAMN</t>
        </is>
      </c>
      <c r="H66" t="inlineStr">
        <is>
          <t>Övriga statliga verk och myndigheter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46227</v>
      </c>
      <c r="F67" t="inlineStr">
        <is>
          <t>STOCKHOLMS LÄN</t>
        </is>
      </c>
      <c r="G67" t="inlineStr">
        <is>
          <t>NYNÄSHAMN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45737</v>
      </c>
      <c r="E68" s="1" t="n">
        <v>46227</v>
      </c>
      <c r="F68" t="inlineStr">
        <is>
          <t>STOCKHOLMS LÄN</t>
        </is>
      </c>
      <c r="G68" t="inlineStr">
        <is>
          <t>NYNÄSHAMN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46227</v>
      </c>
      <c r="F69" t="inlineStr">
        <is>
          <t>STOCKHOLMS LÄN</t>
        </is>
      </c>
      <c r="G69" t="inlineStr">
        <is>
          <t>NYNÄSHAMN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36468-2025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45869</v>
      </c>
      <c r="E70" s="1" t="n">
        <v>46227</v>
      </c>
      <c r="F70" t="inlineStr">
        <is>
          <t>STOCKHOLMS LÄN</t>
        </is>
      </c>
      <c r="G70" t="inlineStr">
        <is>
          <t>NYNÄSHAMN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45869</v>
      </c>
      <c r="E71" s="1" t="n">
        <v>46227</v>
      </c>
      <c r="F71" t="inlineStr">
        <is>
          <t>STOCKHOLMS LÄN</t>
        </is>
      </c>
      <c r="G71" t="inlineStr">
        <is>
          <t>NYNÄSHAMN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45086</v>
      </c>
      <c r="E72" s="1" t="n">
        <v>46227</v>
      </c>
      <c r="F72" t="inlineStr">
        <is>
          <t>STOCKHOLMS LÄN</t>
        </is>
      </c>
      <c r="G72" t="inlineStr">
        <is>
          <t>NYNÄSHAMN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45139</v>
      </c>
      <c r="E73" s="1" t="n">
        <v>46227</v>
      </c>
      <c r="F73" t="inlineStr">
        <is>
          <t>STOCKHOLMS LÄN</t>
        </is>
      </c>
      <c r="G73" t="inlineStr">
        <is>
          <t>NYNÄSHAMN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52859-2024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46227</v>
      </c>
      <c r="F74" t="inlineStr">
        <is>
          <t>STOCKHOLMS LÄN</t>
        </is>
      </c>
      <c r="G74" t="inlineStr">
        <is>
          <t>NYNÄSHAMN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63931-2021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44509</v>
      </c>
      <c r="E75" s="1" t="n">
        <v>46227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52950-2024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46227</v>
      </c>
      <c r="F76" t="inlineStr">
        <is>
          <t>STOCKHOLMS LÄN</t>
        </is>
      </c>
      <c r="G76" t="inlineStr">
        <is>
          <t>NYNÄSHAMN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46227</v>
      </c>
      <c r="F77" t="inlineStr">
        <is>
          <t>STOCKHOLMS LÄN</t>
        </is>
      </c>
      <c r="G77" t="inlineStr">
        <is>
          <t>NYNÄSHAMN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45457</v>
      </c>
      <c r="E78" s="1" t="n">
        <v>46227</v>
      </c>
      <c r="F78" t="inlineStr">
        <is>
          <t>STOCKHOLMS LÄN</t>
        </is>
      </c>
      <c r="G78" t="inlineStr">
        <is>
          <t>NYNÄSHAMN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46227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45935</v>
      </c>
      <c r="E80" s="1" t="n">
        <v>46227</v>
      </c>
      <c r="F80" t="inlineStr">
        <is>
          <t>STOCKHOLMS LÄN</t>
        </is>
      </c>
      <c r="G80" t="inlineStr">
        <is>
          <t>NYNÄSHAMN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47089-2023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45196</v>
      </c>
      <c r="E81" s="1" t="n">
        <v>46227</v>
      </c>
      <c r="F81" t="inlineStr">
        <is>
          <t>STOCKHOLMS LÄN</t>
        </is>
      </c>
      <c r="G81" t="inlineStr">
        <is>
          <t>NYNÄSHAMN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45113</v>
      </c>
      <c r="E82" s="1" t="n">
        <v>46227</v>
      </c>
      <c r="F82" t="inlineStr">
        <is>
          <t>STOCKHOLMS LÄN</t>
        </is>
      </c>
      <c r="G82" t="inlineStr">
        <is>
          <t>NYNÄSHAMN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46052</v>
      </c>
      <c r="E83" s="1" t="n">
        <v>46227</v>
      </c>
      <c r="F83" t="inlineStr">
        <is>
          <t>STOCKHOLMS LÄN</t>
        </is>
      </c>
      <c r="G83" t="inlineStr">
        <is>
          <t>NYNÄSHAMN</t>
        </is>
      </c>
      <c r="H83" t="inlineStr">
        <is>
          <t>Kyrkan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45140</v>
      </c>
      <c r="E84" s="1" t="n">
        <v>46227</v>
      </c>
      <c r="F84" t="inlineStr">
        <is>
          <t>STOCKHOLMS LÄN</t>
        </is>
      </c>
      <c r="G84" t="inlineStr">
        <is>
          <t>NYNÄSHAMN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46227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46227</v>
      </c>
      <c r="F86" t="inlineStr">
        <is>
          <t>STOCKHOLMS LÄN</t>
        </is>
      </c>
      <c r="G86" t="inlineStr">
        <is>
          <t>NYNÄSHAMN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12031-2026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46085</v>
      </c>
      <c r="E87" s="1" t="n">
        <v>46227</v>
      </c>
      <c r="F87" t="inlineStr">
        <is>
          <t>STOCKHOLMS LÄN</t>
        </is>
      </c>
      <c r="G87" t="inlineStr">
        <is>
          <t>NYNÄSHAMN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12032-2026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46085</v>
      </c>
      <c r="E88" s="1" t="n">
        <v>46227</v>
      </c>
      <c r="F88" t="inlineStr">
        <is>
          <t>STOCKHOLMS LÄN</t>
        </is>
      </c>
      <c r="G88" t="inlineStr">
        <is>
          <t>NYNÄSHAMN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44942</v>
      </c>
      <c r="E89" s="1" t="n">
        <v>46227</v>
      </c>
      <c r="F89" t="inlineStr">
        <is>
          <t>STOCKHOLMS LÄN</t>
        </is>
      </c>
      <c r="G89" t="inlineStr">
        <is>
          <t>NYNÄSHAMN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45469</v>
      </c>
      <c r="E90" s="1" t="n">
        <v>46227</v>
      </c>
      <c r="F90" t="inlineStr">
        <is>
          <t>STOCKHOLMS LÄN</t>
        </is>
      </c>
      <c r="G90" t="inlineStr">
        <is>
          <t>NYNÄSHAMN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46227</v>
      </c>
      <c r="F91" t="inlineStr">
        <is>
          <t>STOCKHOLMS LÄN</t>
        </is>
      </c>
      <c r="G91" t="inlineStr">
        <is>
          <t>NYNÄSHAMN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45762</v>
      </c>
      <c r="E92" s="1" t="n">
        <v>46227</v>
      </c>
      <c r="F92" t="inlineStr">
        <is>
          <t>STOCKHOLMS LÄN</t>
        </is>
      </c>
      <c r="G92" t="inlineStr">
        <is>
          <t>NYNÄSHAMN</t>
        </is>
      </c>
      <c r="I92" t="n">
        <v>11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60977-2022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44908</v>
      </c>
      <c r="E93" s="1" t="n">
        <v>46227</v>
      </c>
      <c r="F93" t="inlineStr">
        <is>
          <t>STOCKHOLMS LÄN</t>
        </is>
      </c>
      <c r="G93" t="inlineStr">
        <is>
          <t>NYNÄSHAMN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21192-2023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45062</v>
      </c>
      <c r="E94" s="1" t="n">
        <v>46227</v>
      </c>
      <c r="F94" t="inlineStr">
        <is>
          <t>STOCKHOLMS LÄN</t>
        </is>
      </c>
      <c r="G94" t="inlineStr">
        <is>
          <t>NYNÄSHAMN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46227</v>
      </c>
      <c r="F95" t="inlineStr">
        <is>
          <t>STOCKHOLMS LÄN</t>
        </is>
      </c>
      <c r="G95" t="inlineStr">
        <is>
          <t>NYNÄSHAMN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45209</v>
      </c>
      <c r="E96" s="1" t="n">
        <v>46227</v>
      </c>
      <c r="F96" t="inlineStr">
        <is>
          <t>STOCKHOLMS LÄN</t>
        </is>
      </c>
      <c r="G96" t="inlineStr">
        <is>
          <t>NYNÄSHAMN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45173</v>
      </c>
      <c r="E97" s="1" t="n">
        <v>46227</v>
      </c>
      <c r="F97" t="inlineStr">
        <is>
          <t>STOCKHOLMS LÄN</t>
        </is>
      </c>
      <c r="G97" t="inlineStr">
        <is>
          <t>NYNÄSHAMN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46227</v>
      </c>
      <c r="F98" t="inlineStr">
        <is>
          <t>STOCKHOLMS LÄN</t>
        </is>
      </c>
      <c r="G98" t="inlineStr">
        <is>
          <t>NYNÄSHAMN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45274</v>
      </c>
      <c r="E99" s="1" t="n">
        <v>46227</v>
      </c>
      <c r="F99" t="inlineStr">
        <is>
          <t>STOCKHOLMS LÄN</t>
        </is>
      </c>
      <c r="G99" t="inlineStr">
        <is>
          <t>NYNÄSHAMN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46227</v>
      </c>
      <c r="F100" t="inlineStr">
        <is>
          <t>STOCKHOLMS LÄN</t>
        </is>
      </c>
      <c r="G100" t="inlineStr">
        <is>
          <t>NYNÄSHAMN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45239</v>
      </c>
      <c r="E101" s="1" t="n">
        <v>46227</v>
      </c>
      <c r="F101" t="inlineStr">
        <is>
          <t>STOCKHOLMS LÄN</t>
        </is>
      </c>
      <c r="G101" t="inlineStr">
        <is>
          <t>NYNÄSHAMN</t>
        </is>
      </c>
      <c r="H101" t="inlineStr">
        <is>
          <t>Kommuner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46227</v>
      </c>
      <c r="F102" t="inlineStr">
        <is>
          <t>STOCKHOLMS LÄN</t>
        </is>
      </c>
      <c r="G102" t="inlineStr">
        <is>
          <t>NYNÄSHAMN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7180-2024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45344</v>
      </c>
      <c r="E103" s="1" t="n">
        <v>46227</v>
      </c>
      <c r="F103" t="inlineStr">
        <is>
          <t>STOCKHOLMS LÄN</t>
        </is>
      </c>
      <c r="G103" t="inlineStr">
        <is>
          <t>NYNÄSHAMN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45173</v>
      </c>
      <c r="E104" s="1" t="n">
        <v>46227</v>
      </c>
      <c r="F104" t="inlineStr">
        <is>
          <t>STOCKHOLMS LÄN</t>
        </is>
      </c>
      <c r="G104" t="inlineStr">
        <is>
          <t>NYNÄSHAMN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46227</v>
      </c>
      <c r="F105" t="inlineStr">
        <is>
          <t>STOCKHOLMS LÄN</t>
        </is>
      </c>
      <c r="G105" t="inlineStr">
        <is>
          <t>NYNÄSHAMN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44680</v>
      </c>
      <c r="E106" s="1" t="n">
        <v>46227</v>
      </c>
      <c r="F106" t="inlineStr">
        <is>
          <t>STOCKHOLMS LÄN</t>
        </is>
      </c>
      <c r="G106" t="inlineStr">
        <is>
          <t>NYNÄSHAMN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46227</v>
      </c>
      <c r="F107" t="inlineStr">
        <is>
          <t>STOCKHOLMS LÄN</t>
        </is>
      </c>
      <c r="G107" t="inlineStr">
        <is>
          <t>NYNÄSHAMN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46227</v>
      </c>
      <c r="F108" t="inlineStr">
        <is>
          <t>STOCKHOLMS LÄN</t>
        </is>
      </c>
      <c r="G108" t="inlineStr">
        <is>
          <t>NYNÄSHAMN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30476-2026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46210</v>
      </c>
      <c r="E109" s="1" t="n">
        <v>46227</v>
      </c>
      <c r="F109" t="inlineStr">
        <is>
          <t>STOCKHOLMS LÄN</t>
        </is>
      </c>
      <c r="G109" t="inlineStr">
        <is>
          <t>NYNÄSHAMN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46210</v>
      </c>
      <c r="E110" s="1" t="n">
        <v>46227</v>
      </c>
      <c r="F110" t="inlineStr">
        <is>
          <t>STOCKHOLMS LÄN</t>
        </is>
      </c>
      <c r="G110" t="inlineStr">
        <is>
          <t>NYNÄSHAMN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45610</v>
      </c>
      <c r="E111" s="1" t="n">
        <v>46227</v>
      </c>
      <c r="F111" t="inlineStr">
        <is>
          <t>STOCKHOLMS LÄN</t>
        </is>
      </c>
      <c r="G111" t="inlineStr">
        <is>
          <t>NYNÄSHAMN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30946-2026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46213</v>
      </c>
      <c r="E112" s="1" t="n">
        <v>46227</v>
      </c>
      <c r="F112" t="inlineStr">
        <is>
          <t>STOCKHOLMS LÄN</t>
        </is>
      </c>
      <c r="G112" t="inlineStr">
        <is>
          <t>NYNÄSHAMN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24595-2026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46170</v>
      </c>
      <c r="E113" s="1" t="n">
        <v>46227</v>
      </c>
      <c r="F113" t="inlineStr">
        <is>
          <t>STOCKHOLMS LÄN</t>
        </is>
      </c>
      <c r="G113" t="inlineStr">
        <is>
          <t>NYNÄSHAMN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46227</v>
      </c>
      <c r="F114" t="inlineStr">
        <is>
          <t>STOCKHOLMS LÄN</t>
        </is>
      </c>
      <c r="G114" t="inlineStr">
        <is>
          <t>NYNÄSHAMN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45520</v>
      </c>
      <c r="E115" s="1" t="n">
        <v>46227</v>
      </c>
      <c r="F115" t="inlineStr">
        <is>
          <t>STOCKHOLMS LÄN</t>
        </is>
      </c>
      <c r="G115" t="inlineStr">
        <is>
          <t>NYNÄSHAMN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44424</v>
      </c>
      <c r="E116" s="1" t="n">
        <v>46227</v>
      </c>
      <c r="F116" t="inlineStr">
        <is>
          <t>STOCKHOLMS LÄN</t>
        </is>
      </c>
      <c r="G116" t="inlineStr">
        <is>
          <t>NYNÄSHAMN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45146</v>
      </c>
      <c r="E117" s="1" t="n">
        <v>46227</v>
      </c>
      <c r="F117" t="inlineStr">
        <is>
          <t>STOCKHOLMS LÄN</t>
        </is>
      </c>
      <c r="G117" t="inlineStr">
        <is>
          <t>NYNÄSHAMN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33667-2022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44789</v>
      </c>
      <c r="E118" s="1" t="n">
        <v>46227</v>
      </c>
      <c r="F118" t="inlineStr">
        <is>
          <t>STOCKHOLMS LÄN</t>
        </is>
      </c>
      <c r="G118" t="inlineStr">
        <is>
          <t>NYNÄSHAMN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45028</v>
      </c>
      <c r="E119" s="1" t="n">
        <v>46227</v>
      </c>
      <c r="F119" t="inlineStr">
        <is>
          <t>STOCKHOLMS LÄN</t>
        </is>
      </c>
      <c r="G119" t="inlineStr">
        <is>
          <t>NYNÄSHAMN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44986</v>
      </c>
      <c r="E120" s="1" t="n">
        <v>46227</v>
      </c>
      <c r="F120" t="inlineStr">
        <is>
          <t>STOCKHOLMS LÄN</t>
        </is>
      </c>
      <c r="G120" t="inlineStr">
        <is>
          <t>NYNÄSHAMN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45664</v>
      </c>
      <c r="E121" s="1" t="n">
        <v>46227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44941</v>
      </c>
      <c r="E122" s="1" t="n">
        <v>46227</v>
      </c>
      <c r="F122" t="inlineStr">
        <is>
          <t>STOCKHOLMS LÄN</t>
        </is>
      </c>
      <c r="G122" t="inlineStr">
        <is>
          <t>NYNÄSHAMN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41767-2024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45561</v>
      </c>
      <c r="E123" s="1" t="n">
        <v>46227</v>
      </c>
      <c r="F123" t="inlineStr">
        <is>
          <t>STOCKHOLMS LÄN</t>
        </is>
      </c>
      <c r="G123" t="inlineStr">
        <is>
          <t>NYNÄSHAMN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2697-2024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45482</v>
      </c>
      <c r="E124" s="1" t="n">
        <v>46227</v>
      </c>
      <c r="F124" t="inlineStr">
        <is>
          <t>STOCKHOLMS LÄN</t>
        </is>
      </c>
      <c r="G124" t="inlineStr">
        <is>
          <t>NYNÄSHAMN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4477-2022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44787</v>
      </c>
      <c r="E125" s="1" t="n">
        <v>46227</v>
      </c>
      <c r="F125" t="inlineStr">
        <is>
          <t>STOCKHOLMS LÄN</t>
        </is>
      </c>
      <c r="G125" t="inlineStr">
        <is>
          <t>NYNÄSHAMN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1845-2026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46198</v>
      </c>
      <c r="E126" s="1" t="n">
        <v>46227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2026-07-24T01:50:30Z</dcterms:created>
  <dcterms:modified xmlns:dcterms="http://purl.org/dc/terms/" xmlns:xsi="http://www.w3.org/2001/XMLSchema-instance" xsi:type="dcterms:W3CDTF">2026-07-24T01:50:30Z</dcterms:modified>
</cp:coreProperties>
</file>