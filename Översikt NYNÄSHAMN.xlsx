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46200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46200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46200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46200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46200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46200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46200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46200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46200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46200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46200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46200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s="1" t="n">
        <v>44621</v>
      </c>
      <c r="C20" s="1" t="n">
        <v>46200</v>
      </c>
      <c r="D20" t="inlineStr">
        <is>
          <t>STOCKHOLMS LÄN</t>
        </is>
      </c>
      <c r="E20" t="inlineStr">
        <is>
          <t>NYNÄSHAMN</t>
        </is>
      </c>
      <c r="G20" t="n">
        <v>17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Bolmört
Bollvitmossa</t>
        </is>
      </c>
      <c r="S20">
        <f>HYPERLINK("https://klasma.github.io/Logging_0192/artfynd/A 10059-2022 artfynd.xlsx", "A 10059-2022")</f>
        <v/>
      </c>
      <c r="T20">
        <f>HYPERLINK("https://klasma.github.io/Logging_0192/kartor/A 10059-2022 karta.png", "A 10059-2022")</f>
        <v/>
      </c>
      <c r="V20">
        <f>HYPERLINK("https://klasma.github.io/Logging_0192/klagomål/A 10059-2022 FSC-klagomål.docx", "A 10059-2022")</f>
        <v/>
      </c>
      <c r="W20">
        <f>HYPERLINK("https://klasma.github.io/Logging_0192/klagomålsmail/A 10059-2022 FSC-klagomål mail.docx", "A 10059-2022")</f>
        <v/>
      </c>
      <c r="X20">
        <f>HYPERLINK("https://klasma.github.io/Logging_0192/tillsyn/A 10059-2022 tillsynsbegäran.docx", "A 10059-2022")</f>
        <v/>
      </c>
      <c r="Y20">
        <f>HYPERLINK("https://klasma.github.io/Logging_0192/tillsynsmail/A 10059-2022 tillsynsbegäran mail.docx", "A 10059-2022")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46200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46200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46200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47093-2023</t>
        </is>
      </c>
      <c r="B24" s="1" t="n">
        <v>45196</v>
      </c>
      <c r="C24" s="1" t="n">
        <v>46200</v>
      </c>
      <c r="D24" t="inlineStr">
        <is>
          <t>STOCKHOLMS LÄN</t>
        </is>
      </c>
      <c r="E24" t="inlineStr">
        <is>
          <t>NYNÄSHAMN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47093-2023 artfynd.xlsx", "A 47093-2023")</f>
        <v/>
      </c>
      <c r="T24">
        <f>HYPERLINK("https://klasma.github.io/Logging_0192/kartor/A 47093-2023 karta.png", "A 47093-2023")</f>
        <v/>
      </c>
      <c r="V24">
        <f>HYPERLINK("https://klasma.github.io/Logging_0192/klagomål/A 47093-2023 FSC-klagomål.docx", "A 47093-2023")</f>
        <v/>
      </c>
      <c r="W24">
        <f>HYPERLINK("https://klasma.github.io/Logging_0192/klagomålsmail/A 47093-2023 FSC-klagomål mail.docx", "A 47093-2023")</f>
        <v/>
      </c>
      <c r="X24">
        <f>HYPERLINK("https://klasma.github.io/Logging_0192/tillsyn/A 47093-2023 tillsynsbegäran.docx", "A 47093-2023")</f>
        <v/>
      </c>
      <c r="Y24">
        <f>HYPERLINK("https://klasma.github.io/Logging_0192/tillsynsmail/A 47093-2023 tillsynsbegäran mail.docx", "A 47093-2023")</f>
        <v/>
      </c>
    </row>
    <row r="25" ht="15" customHeight="1">
      <c r="A25" t="inlineStr">
        <is>
          <t>A 8939-2023</t>
        </is>
      </c>
      <c r="B25" s="1" t="n">
        <v>44979</v>
      </c>
      <c r="C25" s="1" t="n">
        <v>46200</v>
      </c>
      <c r="D25" t="inlineStr">
        <is>
          <t>STOCKHOLMS LÄN</t>
        </is>
      </c>
      <c r="E25" t="inlineStr">
        <is>
          <t>NYNÄSHAMN</t>
        </is>
      </c>
      <c r="G25" t="n">
        <v>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Strutbräken</t>
        </is>
      </c>
      <c r="S25">
        <f>HYPERLINK("https://klasma.github.io/Logging_0192/artfynd/A 8939-2023 artfynd.xlsx", "A 8939-2023")</f>
        <v/>
      </c>
      <c r="T25">
        <f>HYPERLINK("https://klasma.github.io/Logging_0192/kartor/A 8939-2023 karta.png", "A 8939-2023")</f>
        <v/>
      </c>
      <c r="V25">
        <f>HYPERLINK("https://klasma.github.io/Logging_0192/klagomål/A 8939-2023 FSC-klagomål.docx", "A 8939-2023")</f>
        <v/>
      </c>
      <c r="W25">
        <f>HYPERLINK("https://klasma.github.io/Logging_0192/klagomålsmail/A 8939-2023 FSC-klagomål mail.docx", "A 8939-2023")</f>
        <v/>
      </c>
      <c r="X25">
        <f>HYPERLINK("https://klasma.github.io/Logging_0192/tillsyn/A 8939-2023 tillsynsbegäran.docx", "A 8939-2023")</f>
        <v/>
      </c>
      <c r="Y25">
        <f>HYPERLINK("https://klasma.github.io/Logging_0192/tillsynsmail/A 8939-2023 tillsynsbegäran mail.docx", "A 8939-2023")</f>
        <v/>
      </c>
    </row>
    <row r="26" ht="15" customHeight="1">
      <c r="A26" t="inlineStr">
        <is>
          <t>A 12033-2026</t>
        </is>
      </c>
      <c r="B26" s="1" t="n">
        <v>46085</v>
      </c>
      <c r="C26" s="1" t="n">
        <v>46200</v>
      </c>
      <c r="D26" t="inlineStr">
        <is>
          <t>STOCKHOLMS LÄN</t>
        </is>
      </c>
      <c r="E26" t="inlineStr">
        <is>
          <t>NYNÄSHAMN</t>
        </is>
      </c>
      <c r="G26" t="n">
        <v>2.4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Fjällvråk
Havsörn</t>
        </is>
      </c>
      <c r="S26">
        <f>HYPERLINK("https://klasma.github.io/Logging_0192/artfynd/A 12033-2026 artfynd.xlsx", "A 12033-2026")</f>
        <v/>
      </c>
      <c r="T26">
        <f>HYPERLINK("https://klasma.github.io/Logging_0192/kartor/A 12033-2026 karta.png", "A 12033-2026")</f>
        <v/>
      </c>
      <c r="V26">
        <f>HYPERLINK("https://klasma.github.io/Logging_0192/klagomål/A 12033-2026 FSC-klagomål.docx", "A 12033-2026")</f>
        <v/>
      </c>
      <c r="W26">
        <f>HYPERLINK("https://klasma.github.io/Logging_0192/klagomålsmail/A 12033-2026 FSC-klagomål mail.docx", "A 12033-2026")</f>
        <v/>
      </c>
      <c r="X26">
        <f>HYPERLINK("https://klasma.github.io/Logging_0192/tillsyn/A 12033-2026 tillsynsbegäran.docx", "A 12033-2026")</f>
        <v/>
      </c>
      <c r="Y26">
        <f>HYPERLINK("https://klasma.github.io/Logging_0192/tillsynsmail/A 12033-2026 tillsynsbegäran mail.docx", "A 12033-2026")</f>
        <v/>
      </c>
      <c r="Z26">
        <f>HYPERLINK("https://klasma.github.io/Logging_0192/fåglar/A 12033-2026 prioriterade fågelarter.docx", "A 12033-2026")</f>
        <v/>
      </c>
    </row>
    <row r="27" ht="15" customHeight="1">
      <c r="A27" t="inlineStr">
        <is>
          <t>A 32011-2023</t>
        </is>
      </c>
      <c r="B27" s="1" t="n">
        <v>45119</v>
      </c>
      <c r="C27" s="1" t="n">
        <v>46200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HYPERLINK("https://klasma.github.io/Logging_0192/artfynd/A 32011-2023 artfynd.xlsx", "A 32011-2023")</f>
        <v/>
      </c>
      <c r="T27">
        <f>HYPERLINK("https://klasma.github.io/Logging_0192/kartor/A 32011-2023 karta.png", "A 32011-2023")</f>
        <v/>
      </c>
      <c r="V27">
        <f>HYPERLINK("https://klasma.github.io/Logging_0192/klagomål/A 32011-2023 FSC-klagomål.docx", "A 32011-2023")</f>
        <v/>
      </c>
      <c r="W27">
        <f>HYPERLINK("https://klasma.github.io/Logging_0192/klagomålsmail/A 32011-2023 FSC-klagomål mail.docx", "A 32011-2023")</f>
        <v/>
      </c>
      <c r="X27">
        <f>HYPERLINK("https://klasma.github.io/Logging_0192/tillsyn/A 32011-2023 tillsynsbegäran.docx", "A 32011-2023")</f>
        <v/>
      </c>
      <c r="Y27">
        <f>HYPERLINK("https://klasma.github.io/Logging_0192/tillsynsmail/A 32011-2023 tillsynsbegäran mail.docx", "A 32011-2023")</f>
        <v/>
      </c>
      <c r="Z27">
        <f>HYPERLINK("https://klasma.github.io/Logging_0192/fåglar/A 32011-2023 prioriterade fågelarter.docx", "A 32011-2023")</f>
        <v/>
      </c>
    </row>
    <row r="28" ht="15" customHeight="1">
      <c r="A28" t="inlineStr">
        <is>
          <t>A 32074-2023</t>
        </is>
      </c>
      <c r="B28" s="1" t="n">
        <v>45119</v>
      </c>
      <c r="C28" s="1" t="n">
        <v>46200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Grå kantarell</t>
        </is>
      </c>
      <c r="S28">
        <f>HYPERLINK("https://klasma.github.io/Logging_0192/artfynd/A 32074-2023 artfynd.xlsx", "A 32074-2023")</f>
        <v/>
      </c>
      <c r="T28">
        <f>HYPERLINK("https://klasma.github.io/Logging_0192/kartor/A 32074-2023 karta.png", "A 32074-2023")</f>
        <v/>
      </c>
      <c r="V28">
        <f>HYPERLINK("https://klasma.github.io/Logging_0192/klagomål/A 32074-2023 FSC-klagomål.docx", "A 32074-2023")</f>
        <v/>
      </c>
      <c r="W28">
        <f>HYPERLINK("https://klasma.github.io/Logging_0192/klagomålsmail/A 32074-2023 FSC-klagomål mail.docx", "A 32074-2023")</f>
        <v/>
      </c>
      <c r="X28">
        <f>HYPERLINK("https://klasma.github.io/Logging_0192/tillsyn/A 32074-2023 tillsynsbegäran.docx", "A 32074-2023")</f>
        <v/>
      </c>
      <c r="Y28">
        <f>HYPERLINK("https://klasma.github.io/Logging_0192/tillsynsmail/A 32074-2023 tillsynsbegäran mail.docx", "A 32074-2023")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46200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62634-2022</t>
        </is>
      </c>
      <c r="B30" s="1" t="n">
        <v>44917</v>
      </c>
      <c r="C30" s="1" t="n">
        <v>46200</v>
      </c>
      <c r="D30" t="inlineStr">
        <is>
          <t>STOCKHOLMS LÄN</t>
        </is>
      </c>
      <c r="E30" t="inlineStr">
        <is>
          <t>NYNÄSHAMN</t>
        </is>
      </c>
      <c r="G30" t="n">
        <v>15.8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HYPERLINK("https://klasma.github.io/Logging_0192/artfynd/A 62634-2022 artfynd.xlsx", "A 62634-2022")</f>
        <v/>
      </c>
      <c r="T30">
        <f>HYPERLINK("https://klasma.github.io/Logging_0192/kartor/A 62634-2022 karta.png", "A 62634-2022")</f>
        <v/>
      </c>
      <c r="V30">
        <f>HYPERLINK("https://klasma.github.io/Logging_0192/klagomål/A 62634-2022 FSC-klagomål.docx", "A 62634-2022")</f>
        <v/>
      </c>
      <c r="W30">
        <f>HYPERLINK("https://klasma.github.io/Logging_0192/klagomålsmail/A 62634-2022 FSC-klagomål mail.docx", "A 62634-2022")</f>
        <v/>
      </c>
      <c r="X30">
        <f>HYPERLINK("https://klasma.github.io/Logging_0192/tillsyn/A 62634-2022 tillsynsbegäran.docx", "A 62634-2022")</f>
        <v/>
      </c>
      <c r="Y30">
        <f>HYPERLINK("https://klasma.github.io/Logging_0192/tillsynsmail/A 62634-2022 tillsynsbegäran mail.docx", "A 62634-2022")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46200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46200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46200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38771-2021</t>
        </is>
      </c>
      <c r="B34" s="1" t="n">
        <v>44410</v>
      </c>
      <c r="C34" s="1" t="n">
        <v>46200</v>
      </c>
      <c r="D34" t="inlineStr">
        <is>
          <t>STOCKHOLMS LÄN</t>
        </is>
      </c>
      <c r="E34" t="inlineStr">
        <is>
          <t>NYNÄSHAMN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HYPERLINK("https://klasma.github.io/Logging_0192/artfynd/A 38771-2021 artfynd.xlsx", "A 38771-2021")</f>
        <v/>
      </c>
      <c r="T34">
        <f>HYPERLINK("https://klasma.github.io/Logging_0192/kartor/A 38771-2021 karta.png", "A 38771-2021")</f>
        <v/>
      </c>
      <c r="V34">
        <f>HYPERLINK("https://klasma.github.io/Logging_0192/klagomål/A 38771-2021 FSC-klagomål.docx", "A 38771-2021")</f>
        <v/>
      </c>
      <c r="W34">
        <f>HYPERLINK("https://klasma.github.io/Logging_0192/klagomålsmail/A 38771-2021 FSC-klagomål mail.docx", "A 38771-2021")</f>
        <v/>
      </c>
      <c r="X34">
        <f>HYPERLINK("https://klasma.github.io/Logging_0192/tillsyn/A 38771-2021 tillsynsbegäran.docx", "A 38771-2021")</f>
        <v/>
      </c>
      <c r="Y34">
        <f>HYPERLINK("https://klasma.github.io/Logging_0192/tillsynsmail/A 38771-2021 tillsynsbegäran mail.docx", "A 38771-2021")</f>
        <v/>
      </c>
    </row>
    <row r="35" ht="15" customHeight="1">
      <c r="A35" t="inlineStr">
        <is>
          <t>A 40895-2024</t>
        </is>
      </c>
      <c r="B35" s="1" t="n">
        <v>45558</v>
      </c>
      <c r="C35" s="1" t="n">
        <v>46200</v>
      </c>
      <c r="D35" t="inlineStr">
        <is>
          <t>STOCKHOLMS LÄN</t>
        </is>
      </c>
      <c r="E35" t="inlineStr">
        <is>
          <t>NYNÄSHAMN</t>
        </is>
      </c>
      <c r="G35" t="n">
        <v>3.7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HYPERLINK("https://klasma.github.io/Logging_0192/artfynd/A 40895-2024 artfynd.xlsx", "A 40895-2024")</f>
        <v/>
      </c>
      <c r="T35">
        <f>HYPERLINK("https://klasma.github.io/Logging_0192/kartor/A 40895-2024 karta.png", "A 40895-2024")</f>
        <v/>
      </c>
      <c r="V35">
        <f>HYPERLINK("https://klasma.github.io/Logging_0192/klagomål/A 40895-2024 FSC-klagomål.docx", "A 40895-2024")</f>
        <v/>
      </c>
      <c r="W35">
        <f>HYPERLINK("https://klasma.github.io/Logging_0192/klagomålsmail/A 40895-2024 FSC-klagomål mail.docx", "A 40895-2024")</f>
        <v/>
      </c>
      <c r="X35">
        <f>HYPERLINK("https://klasma.github.io/Logging_0192/tillsyn/A 40895-2024 tillsynsbegäran.docx", "A 40895-2024")</f>
        <v/>
      </c>
      <c r="Y35">
        <f>HYPERLINK("https://klasma.github.io/Logging_0192/tillsynsmail/A 40895-2024 tillsynsbegäran mail.docx", "A 40895-2024")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46200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s="1" t="n">
        <v>46167</v>
      </c>
      <c r="C37" s="1" t="n">
        <v>46200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7.9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HYPERLINK("https://klasma.github.io/Logging_0192/artfynd/A 23906-2026 artfynd.xlsx", "A 23906-2026")</f>
        <v/>
      </c>
      <c r="T37">
        <f>HYPERLINK("https://klasma.github.io/Logging_0192/kartor/A 23906-2026 karta.png", "A 23906-2026")</f>
        <v/>
      </c>
      <c r="V37">
        <f>HYPERLINK("https://klasma.github.io/Logging_0192/klagomål/A 23906-2026 FSC-klagomål.docx", "A 23906-2026")</f>
        <v/>
      </c>
      <c r="W37">
        <f>HYPERLINK("https://klasma.github.io/Logging_0192/klagomålsmail/A 23906-2026 FSC-klagomål mail.docx", "A 23906-2026")</f>
        <v/>
      </c>
      <c r="X37">
        <f>HYPERLINK("https://klasma.github.io/Logging_0192/tillsyn/A 23906-2026 tillsynsbegäran.docx", "A 23906-2026")</f>
        <v/>
      </c>
      <c r="Y37">
        <f>HYPERLINK("https://klasma.github.io/Logging_0192/tillsynsmail/A 23906-2026 tillsynsbegäran mail.docx", "A 23906-2026")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46200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46200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46200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46200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46200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46200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48309-2022</t>
        </is>
      </c>
      <c r="B47" s="1" t="n">
        <v>44854</v>
      </c>
      <c r="C47" s="1" t="n">
        <v>46200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</v>
      </c>
      <c r="C48" s="1" t="n">
        <v>46200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52911-2024</t>
        </is>
      </c>
      <c r="B49" s="1" t="n">
        <v>45610</v>
      </c>
      <c r="C49" s="1" t="n">
        <v>46200</v>
      </c>
      <c r="D49" t="inlineStr">
        <is>
          <t>STOCKHOLMS LÄN</t>
        </is>
      </c>
      <c r="E49" t="inlineStr">
        <is>
          <t>NYNÄSHAMN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63931-2021</t>
        </is>
      </c>
      <c r="B50" s="1" t="n">
        <v>44509</v>
      </c>
      <c r="C50" s="1" t="n">
        <v>46200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62038-2023</t>
        </is>
      </c>
      <c r="B51" s="1" t="n">
        <v>45266</v>
      </c>
      <c r="C51" s="1" t="n">
        <v>46200</v>
      </c>
      <c r="D51" t="inlineStr">
        <is>
          <t>STOCKHOLMS LÄN</t>
        </is>
      </c>
      <c r="E51" t="inlineStr">
        <is>
          <t>NYNÄSHAMN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</v>
      </c>
      <c r="C52" s="1" t="n">
        <v>46200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</v>
      </c>
      <c r="C53" s="1" t="n">
        <v>46200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47128-2023</t>
        </is>
      </c>
      <c r="B54" s="1" t="n">
        <v>45196</v>
      </c>
      <c r="C54" s="1" t="n">
        <v>46200</v>
      </c>
      <c r="D54" t="inlineStr">
        <is>
          <t>STOCKHOLMS LÄN</t>
        </is>
      </c>
      <c r="E54" t="inlineStr">
        <is>
          <t>NYNÄSHAMN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63463-2023</t>
        </is>
      </c>
      <c r="B55" s="1" t="n">
        <v>45274</v>
      </c>
      <c r="C55" s="1" t="n">
        <v>46200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26190-2022</t>
        </is>
      </c>
      <c r="B56" s="1" t="n">
        <v>44735</v>
      </c>
      <c r="C56" s="1" t="n">
        <v>46200</v>
      </c>
      <c r="D56" t="inlineStr">
        <is>
          <t>STOCKHOLMS LÄN</t>
        </is>
      </c>
      <c r="E56" t="inlineStr">
        <is>
          <t>NYNÄSHAMN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15460-2025</t>
        </is>
      </c>
      <c r="B57" s="1" t="n">
        <v>45747</v>
      </c>
      <c r="C57" s="1" t="n">
        <v>46200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46200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33667-2022</t>
        </is>
      </c>
      <c r="B59" s="1" t="n">
        <v>44789</v>
      </c>
      <c r="C59" s="1" t="n">
        <v>46200</v>
      </c>
      <c r="D59" t="inlineStr">
        <is>
          <t>STOCKHOLMS LÄN</t>
        </is>
      </c>
      <c r="E59" t="inlineStr">
        <is>
          <t>NYNÄSHAMN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4688-2023</t>
        </is>
      </c>
      <c r="B60" s="1" t="n">
        <v>44957</v>
      </c>
      <c r="C60" s="1" t="n">
        <v>46200</v>
      </c>
      <c r="D60" t="inlineStr">
        <is>
          <t>STOCKHOLMS LÄN</t>
        </is>
      </c>
      <c r="E60" t="inlineStr">
        <is>
          <t>NYNÄSHAMN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62878-2023</t>
        </is>
      </c>
      <c r="B61" s="1" t="n">
        <v>45272</v>
      </c>
      <c r="C61" s="1" t="n">
        <v>46200</v>
      </c>
      <c r="D61" t="inlineStr">
        <is>
          <t>STOCKHOLMS LÄN</t>
        </is>
      </c>
      <c r="E61" t="inlineStr">
        <is>
          <t>NYNÄSHAMN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46200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2367-2023</t>
        </is>
      </c>
      <c r="B63" s="1" t="n">
        <v>44942</v>
      </c>
      <c r="C63" s="1" t="n">
        <v>46200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37103-2021</t>
        </is>
      </c>
      <c r="B64" s="1" t="n">
        <v>44396</v>
      </c>
      <c r="C64" s="1" t="n">
        <v>46200</v>
      </c>
      <c r="D64" t="inlineStr">
        <is>
          <t>STOCKHOLMS LÄN</t>
        </is>
      </c>
      <c r="E64" t="inlineStr">
        <is>
          <t>NYNÄSHAMN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37104-2021</t>
        </is>
      </c>
      <c r="B65" s="1" t="n">
        <v>44396</v>
      </c>
      <c r="C65" s="1" t="n">
        <v>46200</v>
      </c>
      <c r="D65" t="inlineStr">
        <is>
          <t>STOCKHOLMS LÄN</t>
        </is>
      </c>
      <c r="E65" t="inlineStr">
        <is>
          <t>NYNÄSHAMN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36052-2023</t>
        </is>
      </c>
      <c r="B66" s="1" t="n">
        <v>45149</v>
      </c>
      <c r="C66" s="1" t="n">
        <v>46200</v>
      </c>
      <c r="D66" t="inlineStr">
        <is>
          <t>STOCKHOLMS LÄN</t>
        </is>
      </c>
      <c r="E66" t="inlineStr">
        <is>
          <t>NYNÄSHAMN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46200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10224-2023</t>
        </is>
      </c>
      <c r="B68" s="1" t="n">
        <v>44986</v>
      </c>
      <c r="C68" s="1" t="n">
        <v>46200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46200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55871-2023</t>
        </is>
      </c>
      <c r="B70" s="1" t="n">
        <v>45239</v>
      </c>
      <c r="C70" s="1" t="n">
        <v>46200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26505-2024</t>
        </is>
      </c>
      <c r="B71" s="1" t="n">
        <v>45469</v>
      </c>
      <c r="C71" s="1" t="n">
        <v>46200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17634-2022</t>
        </is>
      </c>
      <c r="B72" s="1" t="n">
        <v>44680</v>
      </c>
      <c r="C72" s="1" t="n">
        <v>46200</v>
      </c>
      <c r="D72" t="inlineStr">
        <is>
          <t>STOCKHOLMS LÄN</t>
        </is>
      </c>
      <c r="E72" t="inlineStr">
        <is>
          <t>NYNÄSHAMN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33787-2024</t>
        </is>
      </c>
      <c r="B73" s="1" t="n">
        <v>45520</v>
      </c>
      <c r="C73" s="1" t="n">
        <v>46200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6775-2022</t>
        </is>
      </c>
      <c r="B74" s="1" t="n">
        <v>44602</v>
      </c>
      <c r="C74" s="1" t="n">
        <v>46200</v>
      </c>
      <c r="D74" t="inlineStr">
        <is>
          <t>STOCKHOLMS LÄN</t>
        </is>
      </c>
      <c r="E74" t="inlineStr">
        <is>
          <t>NYNÄSHAMN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41281-2021</t>
        </is>
      </c>
      <c r="B75" s="1" t="n">
        <v>44424</v>
      </c>
      <c r="C75" s="1" t="n">
        <v>46200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52859-2024</t>
        </is>
      </c>
      <c r="B76" s="1" t="n">
        <v>45610</v>
      </c>
      <c r="C76" s="1" t="n">
        <v>46200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46200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17990-2024</t>
        </is>
      </c>
      <c r="B78" s="1" t="n">
        <v>45419</v>
      </c>
      <c r="C78" s="1" t="n">
        <v>46200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64411-2023</t>
        </is>
      </c>
      <c r="B79" s="1" t="n">
        <v>45280</v>
      </c>
      <c r="C79" s="1" t="n">
        <v>46200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9020-2023</t>
        </is>
      </c>
      <c r="B80" s="1" t="n">
        <v>44979</v>
      </c>
      <c r="C80" s="1" t="n">
        <v>46200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34385-2023</t>
        </is>
      </c>
      <c r="B81" s="1" t="n">
        <v>45139</v>
      </c>
      <c r="C81" s="1" t="n">
        <v>46200</v>
      </c>
      <c r="D81" t="inlineStr">
        <is>
          <t>STOCKHOLMS LÄN</t>
        </is>
      </c>
      <c r="E81" t="inlineStr">
        <is>
          <t>NYNÄSHAMN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41677-2023</t>
        </is>
      </c>
      <c r="B82" s="1" t="n">
        <v>45173</v>
      </c>
      <c r="C82" s="1" t="n">
        <v>46200</v>
      </c>
      <c r="D82" t="inlineStr">
        <is>
          <t>STOCKHOLMS LÄN</t>
        </is>
      </c>
      <c r="E82" t="inlineStr">
        <is>
          <t>NYNÄSHAMN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41680-2023</t>
        </is>
      </c>
      <c r="B83" s="1" t="n">
        <v>45173</v>
      </c>
      <c r="C83" s="1" t="n">
        <v>46200</v>
      </c>
      <c r="D83" t="inlineStr">
        <is>
          <t>STOCKHOLMS LÄN</t>
        </is>
      </c>
      <c r="E83" t="inlineStr">
        <is>
          <t>NYNÄSHAMN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34660-2023</t>
        </is>
      </c>
      <c r="B84" s="1" t="n">
        <v>45140</v>
      </c>
      <c r="C84" s="1" t="n">
        <v>46200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44619-2023</t>
        </is>
      </c>
      <c r="B85" s="1" t="n">
        <v>45189</v>
      </c>
      <c r="C85" s="1" t="n">
        <v>46200</v>
      </c>
      <c r="D85" t="inlineStr">
        <is>
          <t>STOCKHOLMS LÄN</t>
        </is>
      </c>
      <c r="E85" t="inlineStr">
        <is>
          <t>NYNÄSHAMN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636-2025</t>
        </is>
      </c>
      <c r="B86" s="1" t="n">
        <v>45664</v>
      </c>
      <c r="C86" s="1" t="n">
        <v>46200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44624-2023</t>
        </is>
      </c>
      <c r="B87" s="1" t="n">
        <v>45184</v>
      </c>
      <c r="C87" s="1" t="n">
        <v>46200</v>
      </c>
      <c r="D87" t="inlineStr">
        <is>
          <t>STOCKHOLMS LÄN</t>
        </is>
      </c>
      <c r="E87" t="inlineStr">
        <is>
          <t>NYNÄSHAMN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29811-2025</t>
        </is>
      </c>
      <c r="B88" s="1" t="n">
        <v>45825</v>
      </c>
      <c r="C88" s="1" t="n">
        <v>46200</v>
      </c>
      <c r="D88" t="inlineStr">
        <is>
          <t>STOCKHOLMS LÄN</t>
        </is>
      </c>
      <c r="E88" t="inlineStr">
        <is>
          <t>NYNÄSHAMN</t>
        </is>
      </c>
      <c r="F88" t="inlineStr">
        <is>
          <t>Övriga statliga verk och myndigheter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</v>
      </c>
      <c r="C89" s="1" t="n">
        <v>46200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37097-2021</t>
        </is>
      </c>
      <c r="B90" s="1" t="n">
        <v>44395</v>
      </c>
      <c r="C90" s="1" t="n">
        <v>46200</v>
      </c>
      <c r="D90" t="inlineStr">
        <is>
          <t>STOCKHOLMS LÄN</t>
        </is>
      </c>
      <c r="E90" t="inlineStr">
        <is>
          <t>NYNÄSHAMN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30910-2023</t>
        </is>
      </c>
      <c r="B91" s="1" t="n">
        <v>45113</v>
      </c>
      <c r="C91" s="1" t="n">
        <v>46200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52953-2024</t>
        </is>
      </c>
      <c r="B92" s="1" t="n">
        <v>45610</v>
      </c>
      <c r="C92" s="1" t="n">
        <v>46200</v>
      </c>
      <c r="D92" t="inlineStr">
        <is>
          <t>STOCKHOLMS LÄN</t>
        </is>
      </c>
      <c r="E92" t="inlineStr">
        <is>
          <t>NYNÄSHAMN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13945-2025</t>
        </is>
      </c>
      <c r="B93" s="1" t="n">
        <v>45737</v>
      </c>
      <c r="C93" s="1" t="n">
        <v>46200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</v>
      </c>
      <c r="C94" s="1" t="n">
        <v>46200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41767-2024</t>
        </is>
      </c>
      <c r="B95" s="1" t="n">
        <v>45561</v>
      </c>
      <c r="C95" s="1" t="n">
        <v>46200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35356-2023</t>
        </is>
      </c>
      <c r="B96" s="1" t="n">
        <v>45146</v>
      </c>
      <c r="C96" s="1" t="n">
        <v>46200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2170-2023</t>
        </is>
      </c>
      <c r="B97" s="1" t="n">
        <v>44941</v>
      </c>
      <c r="C97" s="1" t="n">
        <v>46200</v>
      </c>
      <c r="D97" t="inlineStr">
        <is>
          <t>STOCKHOLMS LÄN</t>
        </is>
      </c>
      <c r="E97" t="inlineStr">
        <is>
          <t>NYNÄSHAMN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21192-2023</t>
        </is>
      </c>
      <c r="B98" s="1" t="n">
        <v>45062</v>
      </c>
      <c r="C98" s="1" t="n">
        <v>46200</v>
      </c>
      <c r="D98" t="inlineStr">
        <is>
          <t>STOCKHOLMS LÄN</t>
        </is>
      </c>
      <c r="E98" t="inlineStr">
        <is>
          <t>NYNÄSHAMN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9062-2023</t>
        </is>
      </c>
      <c r="B99" s="1" t="n">
        <v>44979</v>
      </c>
      <c r="C99" s="1" t="n">
        <v>46200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</v>
      </c>
      <c r="C100" s="1" t="n">
        <v>46200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25175-2023</t>
        </is>
      </c>
      <c r="B101" s="1" t="n">
        <v>45086</v>
      </c>
      <c r="C101" s="1" t="n">
        <v>46200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</v>
      </c>
      <c r="C102" s="1" t="n">
        <v>46200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36468-2025</t>
        </is>
      </c>
      <c r="B103" s="1" t="n">
        <v>45869</v>
      </c>
      <c r="C103" s="1" t="n">
        <v>46200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1658-2022</t>
        </is>
      </c>
      <c r="B104" s="1" t="n">
        <v>44574</v>
      </c>
      <c r="C104" s="1" t="n">
        <v>46200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46200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21202-2025</t>
        </is>
      </c>
      <c r="B106" s="1" t="n">
        <v>45779</v>
      </c>
      <c r="C106" s="1" t="n">
        <v>46200</v>
      </c>
      <c r="D106" t="inlineStr">
        <is>
          <t>STOCKHOLMS LÄN</t>
        </is>
      </c>
      <c r="E106" t="inlineStr">
        <is>
          <t>NYNÄSHAMN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52950-2024</t>
        </is>
      </c>
      <c r="B107" s="1" t="n">
        <v>45610</v>
      </c>
      <c r="C107" s="1" t="n">
        <v>46200</v>
      </c>
      <c r="D107" t="inlineStr">
        <is>
          <t>STOCKHOLMS LÄN</t>
        </is>
      </c>
      <c r="E107" t="inlineStr">
        <is>
          <t>NYNÄSHAMN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8932-2023</t>
        </is>
      </c>
      <c r="B108" s="1" t="n">
        <v>44979</v>
      </c>
      <c r="C108" s="1" t="n">
        <v>46200</v>
      </c>
      <c r="D108" t="inlineStr">
        <is>
          <t>STOCKHOLMS LÄN</t>
        </is>
      </c>
      <c r="E108" t="inlineStr">
        <is>
          <t>NYNÄSHAMN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1658-2022</t>
        </is>
      </c>
      <c r="B109" s="1" t="n">
        <v>44574</v>
      </c>
      <c r="C109" s="1" t="n">
        <v>46200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48978-2023</t>
        </is>
      </c>
      <c r="B110" s="1" t="n">
        <v>45209</v>
      </c>
      <c r="C110" s="1" t="n">
        <v>46200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48456-2025</t>
        </is>
      </c>
      <c r="B111" s="1" t="n">
        <v>45935</v>
      </c>
      <c r="C111" s="1" t="n">
        <v>46200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</v>
      </c>
      <c r="C112" s="1" t="n">
        <v>46200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17991-2024</t>
        </is>
      </c>
      <c r="B113" s="1" t="n">
        <v>45419</v>
      </c>
      <c r="C113" s="1" t="n">
        <v>46200</v>
      </c>
      <c r="D113" t="inlineStr">
        <is>
          <t>STOCKHOLMS LÄN</t>
        </is>
      </c>
      <c r="E113" t="inlineStr">
        <is>
          <t>NYNÄSHAMN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46200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16793-2023</t>
        </is>
      </c>
      <c r="B115" s="1" t="n">
        <v>45028</v>
      </c>
      <c r="C115" s="1" t="n">
        <v>46200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8932-2023</t>
        </is>
      </c>
      <c r="B116" s="1" t="n">
        <v>44979</v>
      </c>
      <c r="C116" s="1" t="n">
        <v>46200</v>
      </c>
      <c r="D116" t="inlineStr">
        <is>
          <t>STOCKHOLMS LÄN</t>
        </is>
      </c>
      <c r="E116" t="inlineStr">
        <is>
          <t>NYNÄSHAMN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46857-2025</t>
        </is>
      </c>
      <c r="B117" s="1" t="n">
        <v>45928</v>
      </c>
      <c r="C117" s="1" t="n">
        <v>46200</v>
      </c>
      <c r="D117" t="inlineStr">
        <is>
          <t>STOCKHOLMS LÄN</t>
        </is>
      </c>
      <c r="E117" t="inlineStr">
        <is>
          <t>NYNÄSHAMN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56210-2025</t>
        </is>
      </c>
      <c r="B118" s="1" t="n">
        <v>45974</v>
      </c>
      <c r="C118" s="1" t="n">
        <v>46200</v>
      </c>
      <c r="D118" t="inlineStr">
        <is>
          <t>STOCKHOLMS LÄN</t>
        </is>
      </c>
      <c r="E118" t="inlineStr">
        <is>
          <t>NYNÄSHAMN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56385-2025</t>
        </is>
      </c>
      <c r="B119" s="1" t="n">
        <v>45974</v>
      </c>
      <c r="C119" s="1" t="n">
        <v>46200</v>
      </c>
      <c r="D119" t="inlineStr">
        <is>
          <t>STOCKHOLMS LÄN</t>
        </is>
      </c>
      <c r="E119" t="inlineStr">
        <is>
          <t>NYNÄSHAMN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46200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</v>
      </c>
      <c r="C121" s="1" t="n">
        <v>46200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46200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46200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24595-2026</t>
        </is>
      </c>
      <c r="B124" s="1" t="n">
        <v>46170</v>
      </c>
      <c r="C124" s="1" t="n">
        <v>46200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</v>
      </c>
      <c r="C125" s="1" t="n">
        <v>46200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60977-2022</t>
        </is>
      </c>
      <c r="B126" s="1" t="n">
        <v>44908</v>
      </c>
      <c r="C126" s="1" t="n">
        <v>46200</v>
      </c>
      <c r="D126" t="inlineStr">
        <is>
          <t>STOCKHOLMS LÄN</t>
        </is>
      </c>
      <c r="E126" t="inlineStr">
        <is>
          <t>NYNÄSHAMN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