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46269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46269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22716-2025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45789</v>
      </c>
      <c r="E14" s="1" t="n">
        <v>46269</v>
      </c>
      <c r="F14" t="inlineStr">
        <is>
          <t>STOCKHOLMS LÄN</t>
        </is>
      </c>
      <c r="G14" t="inlineStr">
        <is>
          <t>NYNÄSHAMN</t>
        </is>
      </c>
      <c r="H14" t="inlineStr">
        <is>
          <t>Kommuner</t>
        </is>
      </c>
      <c r="I14" t="n">
        <v>2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Björksplintborre
Stekelbock
Revlummer</t>
        </is>
      </c>
      <c r="W14">
        <f>HYPERLINK("https://klasma.github.io/Logging_0192/artfynd/A 22716-2025 artfynd.xlsx", "A 22716-2025")</f>
        <v/>
      </c>
      <c r="X14">
        <f>HYPERLINK("https://klasma.github.io/Logging_0192/kartor/A 22716-2025 karta.png", "A 22716-2025")</f>
        <v/>
      </c>
      <c r="Y14">
        <f>HYPERLINK("https://klasma.github.io/Logging_0192/kartor_geotiff/A 22716-2025 georefererad karta.tif", "A 22716-2025")</f>
        <v/>
      </c>
      <c r="AA14">
        <f>HYPERLINK("https://klasma.github.io/Logging_0192/klagomål/A 22716-2025 FSC-klagomål.docx", "A 22716-2025")</f>
        <v/>
      </c>
      <c r="AB14">
        <f>HYPERLINK("https://klasma.github.io/Logging_0192/klagomålsmail/A 22716-2025 FSC-klagomål mail.docx", "A 22716-2025")</f>
        <v/>
      </c>
      <c r="AC14">
        <f>HYPERLINK("https://klasma.github.io/Logging_0192/tillsyn/A 22716-2025 tillsynsbegäran.docx", "A 22716-2025")</f>
        <v/>
      </c>
      <c r="AD14">
        <f>HYPERLINK("https://klasma.github.io/Logging_0192/tillsynsmail/A 22716-2025 tillsynsbegäran mail.docx", "A 22716-2025")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46269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46269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46269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8939-2023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44979</v>
      </c>
      <c r="E18" s="1" t="n">
        <v>46269</v>
      </c>
      <c r="F18" t="inlineStr">
        <is>
          <t>STOCKHOLMS LÄN</t>
        </is>
      </c>
      <c r="G18" t="inlineStr">
        <is>
          <t>NYNÄSHAMN</t>
        </is>
      </c>
      <c r="I18" t="n">
        <v>2.7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Strutbräken</t>
        </is>
      </c>
      <c r="W18">
        <f>HYPERLINK("https://klasma.github.io/Logging_0192/artfynd/A 8939-2023 artfynd.xlsx", "A 8939-2023")</f>
        <v/>
      </c>
      <c r="X18">
        <f>HYPERLINK("https://klasma.github.io/Logging_0192/kartor/A 8939-2023 karta.png", "A 8939-2023")</f>
        <v/>
      </c>
      <c r="Y18">
        <f>HYPERLINK("https://klasma.github.io/Logging_0192/kartor_geotiff/A 8939-2023 georefererad karta.tif", "A 8939-2023")</f>
        <v/>
      </c>
      <c r="AA18">
        <f>HYPERLINK("https://klasma.github.io/Logging_0192/klagomål/A 8939-2023 FSC-klagomål.docx", "A 8939-2023")</f>
        <v/>
      </c>
      <c r="AB18">
        <f>HYPERLINK("https://klasma.github.io/Logging_0192/klagomålsmail/A 8939-2023 FSC-klagomål mail.docx", "A 8939-2023")</f>
        <v/>
      </c>
      <c r="AC18">
        <f>HYPERLINK("https://klasma.github.io/Logging_0192/tillsyn/A 8939-2023 tillsynsbegäran.docx", "A 8939-2023")</f>
        <v/>
      </c>
      <c r="AD18">
        <f>HYPERLINK("https://klasma.github.io/Logging_0192/tillsynsmail/A 8939-2023 tillsynsbegäran mail.docx", "A 8939-2023")</f>
        <v/>
      </c>
    </row>
    <row r="19" ht="15" customHeight="1">
      <c r="A19" t="inlineStr">
        <is>
          <t>A 47093-2023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45196</v>
      </c>
      <c r="E19" s="1" t="n">
        <v>46269</v>
      </c>
      <c r="F19" t="inlineStr">
        <is>
          <t>STOCKHOLMS LÄN</t>
        </is>
      </c>
      <c r="G19" t="inlineStr">
        <is>
          <t>NYNÄSHAMN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Hasselticka
Myskmadra</t>
        </is>
      </c>
      <c r="W19">
        <f>HYPERLINK("https://klasma.github.io/Logging_0192/artfynd/A 47093-2023 artfynd.xlsx", "A 47093-2023")</f>
        <v/>
      </c>
      <c r="X19">
        <f>HYPERLINK("https://klasma.github.io/Logging_0192/kartor/A 47093-2023 karta.png", "A 47093-2023")</f>
        <v/>
      </c>
      <c r="Y19">
        <f>HYPERLINK("https://klasma.github.io/Logging_0192/kartor_geotiff/A 47093-2023 georefererad karta.tif", "A 47093-2023")</f>
        <v/>
      </c>
      <c r="AA19">
        <f>HYPERLINK("https://klasma.github.io/Logging_0192/klagomål/A 47093-2023 FSC-klagomål.docx", "A 47093-2023")</f>
        <v/>
      </c>
      <c r="AB19">
        <f>HYPERLINK("https://klasma.github.io/Logging_0192/klagomålsmail/A 47093-2023 FSC-klagomål mail.docx", "A 47093-2023")</f>
        <v/>
      </c>
      <c r="AC19">
        <f>HYPERLINK("https://klasma.github.io/Logging_0192/tillsyn/A 47093-2023 tillsynsbegäran.docx", "A 47093-2023")</f>
        <v/>
      </c>
      <c r="AD19">
        <f>HYPERLINK("https://klasma.github.io/Logging_0192/tillsynsmail/A 47093-2023 tillsynsbegäran mail.docx", "A 47093-2023")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46269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44960</v>
      </c>
      <c r="E21" s="1" t="n">
        <v>46269</v>
      </c>
      <c r="F21" t="inlineStr">
        <is>
          <t>STOCKHOLMS LÄN</t>
        </is>
      </c>
      <c r="G21" t="inlineStr">
        <is>
          <t>NYNÄSHAMN</t>
        </is>
      </c>
      <c r="I21" t="n">
        <v>10.1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Sårläka
Blåsippa</t>
        </is>
      </c>
      <c r="W21">
        <f>HYPERLINK("https://klasma.github.io/Logging_0192/artfynd/A 5567-2023 artfynd.xlsx", "A 5567-2023")</f>
        <v/>
      </c>
      <c r="X21">
        <f>HYPERLINK("https://klasma.github.io/Logging_0192/kartor/A 5567-2023 karta.png", "A 5567-2023")</f>
        <v/>
      </c>
      <c r="Y21">
        <f>HYPERLINK("https://klasma.github.io/Logging_0192/kartor_geotiff/A 5567-2023 georefererad karta.tif", "A 5567-2023")</f>
        <v/>
      </c>
      <c r="AA21">
        <f>HYPERLINK("https://klasma.github.io/Logging_0192/klagomål/A 5567-2023 FSC-klagomål.docx", "A 5567-2023")</f>
        <v/>
      </c>
      <c r="AB21">
        <f>HYPERLINK("https://klasma.github.io/Logging_0192/klagomålsmail/A 5567-2023 FSC-klagomål mail.docx", "A 5567-2023")</f>
        <v/>
      </c>
      <c r="AC21">
        <f>HYPERLINK("https://klasma.github.io/Logging_0192/tillsyn/A 5567-2023 tillsynsbegäran.docx", "A 5567-2023")</f>
        <v/>
      </c>
      <c r="AD21">
        <f>HYPERLINK("https://klasma.github.io/Logging_0192/tillsynsmail/A 5567-2023 tillsynsbegäran mail.docx", "A 5567-2023")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46269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33528-2023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45131</v>
      </c>
      <c r="E23" s="1" t="n">
        <v>46269</v>
      </c>
      <c r="F23" t="inlineStr">
        <is>
          <t>STOCKHOLMS LÄN</t>
        </is>
      </c>
      <c r="G23" t="inlineStr">
        <is>
          <t>NYNÄSHAMN</t>
        </is>
      </c>
      <c r="I23" t="n">
        <v>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33528-2023 artfynd.xlsx", "A 33528-2023")</f>
        <v/>
      </c>
      <c r="X23">
        <f>HYPERLINK("https://klasma.github.io/Logging_0192/kartor/A 33528-2023 karta.png", "A 33528-2023")</f>
        <v/>
      </c>
      <c r="Y23">
        <f>HYPERLINK("https://klasma.github.io/Logging_0192/kartor_geotiff/A 33528-2023 georefererad karta.tif", "A 33528-2023")</f>
        <v/>
      </c>
      <c r="AA23">
        <f>HYPERLINK("https://klasma.github.io/Logging_0192/klagomål/A 33528-2023 FSC-klagomål.docx", "A 33528-2023")</f>
        <v/>
      </c>
      <c r="AB23">
        <f>HYPERLINK("https://klasma.github.io/Logging_0192/klagomålsmail/A 33528-2023 FSC-klagomål mail.docx", "A 33528-2023")</f>
        <v/>
      </c>
      <c r="AC23">
        <f>HYPERLINK("https://klasma.github.io/Logging_0192/tillsyn/A 33528-2023 tillsynsbegäran.docx", "A 33528-2023")</f>
        <v/>
      </c>
      <c r="AD23">
        <f>HYPERLINK("https://klasma.github.io/Logging_0192/tillsynsmail/A 33528-2023 tillsynsbegäran mail.docx", "A 33528-2023")</f>
        <v/>
      </c>
    </row>
    <row r="24" ht="15" customHeight="1">
      <c r="A24" t="inlineStr">
        <is>
          <t>A 49523-2023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46269</v>
      </c>
      <c r="F24" t="inlineStr">
        <is>
          <t>STOCKHOLMS LÄN</t>
        </is>
      </c>
      <c r="G24" t="inlineStr">
        <is>
          <t>NYNÄSHAMN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Grönpyrola
Västlig hakmossa</t>
        </is>
      </c>
      <c r="W24">
        <f>HYPERLINK("https://klasma.github.io/Logging_0192/artfynd/A 49523-2023 artfynd.xlsx", "A 49523-2023")</f>
        <v/>
      </c>
      <c r="X24">
        <f>HYPERLINK("https://klasma.github.io/Logging_0192/kartor/A 49523-2023 karta.png", "A 49523-2023")</f>
        <v/>
      </c>
      <c r="Y24">
        <f>HYPERLINK("https://klasma.github.io/Logging_0192/kartor_geotiff/A 49523-2023 georefererad karta.tif", "A 49523-2023")</f>
        <v/>
      </c>
      <c r="AA24">
        <f>HYPERLINK("https://klasma.github.io/Logging_0192/klagomål/A 49523-2023 FSC-klagomål.docx", "A 49523-2023")</f>
        <v/>
      </c>
      <c r="AB24">
        <f>HYPERLINK("https://klasma.github.io/Logging_0192/klagomålsmail/A 49523-2023 FSC-klagomål mail.docx", "A 49523-2023")</f>
        <v/>
      </c>
      <c r="AC24">
        <f>HYPERLINK("https://klasma.github.io/Logging_0192/tillsyn/A 49523-2023 tillsynsbegäran.docx", "A 49523-2023")</f>
        <v/>
      </c>
      <c r="AD24">
        <f>HYPERLINK("https://klasma.github.io/Logging_0192/tillsynsmail/A 49523-2023 tillsynsbegäran mail.docx", "A 49523-2023")</f>
        <v/>
      </c>
    </row>
    <row r="25" ht="15" customHeight="1">
      <c r="A25" t="inlineStr">
        <is>
          <t>A 10059-2022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46269</v>
      </c>
      <c r="F25" t="inlineStr">
        <is>
          <t>STOCKHOLMS LÄN</t>
        </is>
      </c>
      <c r="G25" t="inlineStr">
        <is>
          <t>NYNÄSHAMN</t>
        </is>
      </c>
      <c r="I25" t="n">
        <v>17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Bolmört
Bollvitmossa</t>
        </is>
      </c>
      <c r="W25">
        <f>HYPERLINK("https://klasma.github.io/Logging_0192/artfynd/A 10059-2022 artfynd.xlsx", "A 10059-2022")</f>
        <v/>
      </c>
      <c r="X25">
        <f>HYPERLINK("https://klasma.github.io/Logging_0192/kartor/A 10059-2022 karta.png", "A 10059-2022")</f>
        <v/>
      </c>
      <c r="Y25">
        <f>HYPERLINK("https://klasma.github.io/Logging_0192/kartor_geotiff/A 10059-2022 georefererad karta.tif", "A 10059-2022")</f>
        <v/>
      </c>
      <c r="AA25">
        <f>HYPERLINK("https://klasma.github.io/Logging_0192/klagomål/A 10059-2022 FSC-klagomål.docx", "A 10059-2022")</f>
        <v/>
      </c>
      <c r="AB25">
        <f>HYPERLINK("https://klasma.github.io/Logging_0192/klagomålsmail/A 10059-2022 FSC-klagomål mail.docx", "A 10059-2022")</f>
        <v/>
      </c>
      <c r="AC25">
        <f>HYPERLINK("https://klasma.github.io/Logging_0192/tillsyn/A 10059-2022 tillsynsbegäran.docx", "A 10059-2022")</f>
        <v/>
      </c>
      <c r="AD25">
        <f>HYPERLINK("https://klasma.github.io/Logging_0192/tillsynsmail/A 10059-2022 tillsynsbegäran mail.docx", "A 10059-2022")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46269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Fjällvråk
Havsörn</t>
        </is>
      </c>
      <c r="W26">
        <f>HYPERLINK("https://klasma.github.io/Logging_0192/artfynd/A 12033-2026 artfynd.xlsx", "A 12033-2026")</f>
        <v/>
      </c>
      <c r="X26">
        <f>HYPERLINK("https://klasma.github.io/Logging_0192/kartor/A 12033-2026 karta.png", "A 12033-2026")</f>
        <v/>
      </c>
      <c r="Y26">
        <f>HYPERLINK("https://klasma.github.io/Logging_0192/kartor_geotiff/A 12033-2026 georefererad karta.tif", "A 12033-2026")</f>
        <v/>
      </c>
      <c r="AA26">
        <f>HYPERLINK("https://klasma.github.io/Logging_0192/klagomål/A 12033-2026 FSC-klagomål.docx", "A 12033-2026")</f>
        <v/>
      </c>
      <c r="AB26">
        <f>HYPERLINK("https://klasma.github.io/Logging_0192/klagomålsmail/A 12033-2026 FSC-klagomål mail.docx", "A 12033-2026")</f>
        <v/>
      </c>
      <c r="AC26">
        <f>HYPERLINK("https://klasma.github.io/Logging_0192/tillsyn/A 12033-2026 tillsynsbegäran.docx", "A 12033-2026")</f>
        <v/>
      </c>
      <c r="AD26">
        <f>HYPERLINK("https://klasma.github.io/Logging_0192/tillsynsmail/A 12033-2026 tillsynsbegäran mail.docx", "A 12033-2026")</f>
        <v/>
      </c>
      <c r="AE26">
        <f>HYPERLINK("https://klasma.github.io/Logging_0192/fåglar/A 12033-2026 prioriterade fågelarter.docx", "A 12033-2026")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46269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46269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27748-2023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46269</v>
      </c>
      <c r="F30" t="inlineStr">
        <is>
          <t>STOCKHOLMS LÄN</t>
        </is>
      </c>
      <c r="G30" t="inlineStr">
        <is>
          <t>NYNÄSHAMN</t>
        </is>
      </c>
      <c r="I30" t="n">
        <v>1.2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HYPERLINK("https://klasma.github.io/Logging_0192/artfynd/A 27748-2023 artfynd.xlsx", "A 27748-2023")</f>
        <v/>
      </c>
      <c r="X30">
        <f>HYPERLINK("https://klasma.github.io/Logging_0192/kartor/A 27748-2023 karta.png", "A 27748-2023")</f>
        <v/>
      </c>
      <c r="Y30">
        <f>HYPERLINK("https://klasma.github.io/Logging_0192/kartor_geotiff/A 27748-2023 georefererad karta.tif", "A 27748-2023")</f>
        <v/>
      </c>
      <c r="AA30">
        <f>HYPERLINK("https://klasma.github.io/Logging_0192/klagomål/A 27748-2023 FSC-klagomål.docx", "A 27748-2023")</f>
        <v/>
      </c>
      <c r="AB30">
        <f>HYPERLINK("https://klasma.github.io/Logging_0192/klagomålsmail/A 27748-2023 FSC-klagomål mail.docx", "A 27748-2023")</f>
        <v/>
      </c>
      <c r="AC30">
        <f>HYPERLINK("https://klasma.github.io/Logging_0192/tillsyn/A 27748-2023 tillsynsbegäran.docx", "A 27748-2023")</f>
        <v/>
      </c>
      <c r="AD30">
        <f>HYPERLINK("https://klasma.github.io/Logging_0192/tillsynsmail/A 27748-2023 tillsynsbegäran mail.docx", "A 27748-2023")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46269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46269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46269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6435-2023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44965</v>
      </c>
      <c r="E34" s="1" t="n">
        <v>46269</v>
      </c>
      <c r="F34" t="inlineStr">
        <is>
          <t>STOCKHOLMS LÄN</t>
        </is>
      </c>
      <c r="G34" t="inlineStr">
        <is>
          <t>NYNÄSHAMN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HYPERLINK("https://klasma.github.io/Logging_0192/artfynd/A 6435-2023 artfynd.xlsx", "A 6435-2023")</f>
        <v/>
      </c>
      <c r="X34">
        <f>HYPERLINK("https://klasma.github.io/Logging_0192/kartor/A 6435-2023 karta.png", "A 6435-2023")</f>
        <v/>
      </c>
      <c r="Y34">
        <f>HYPERLINK("https://klasma.github.io/Logging_0192/kartor_geotiff/A 6435-2023 georefererad karta.tif", "A 6435-2023")</f>
        <v/>
      </c>
      <c r="AA34">
        <f>HYPERLINK("https://klasma.github.io/Logging_0192/klagomål/A 6435-2023 FSC-klagomål.docx", "A 6435-2023")</f>
        <v/>
      </c>
      <c r="AB34">
        <f>HYPERLINK("https://klasma.github.io/Logging_0192/klagomålsmail/A 6435-2023 FSC-klagomål mail.docx", "A 6435-2023")</f>
        <v/>
      </c>
      <c r="AC34">
        <f>HYPERLINK("https://klasma.github.io/Logging_0192/tillsyn/A 6435-2023 tillsynsbegäran.docx", "A 6435-2023")</f>
        <v/>
      </c>
      <c r="AD34">
        <f>HYPERLINK("https://klasma.github.io/Logging_0192/tillsynsmail/A 6435-2023 tillsynsbegäran mail.docx", "A 6435-2023")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46269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46269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46269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46269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73963-2021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46269</v>
      </c>
      <c r="F39" t="inlineStr">
        <is>
          <t>STOCKHOLMS LÄN</t>
        </is>
      </c>
      <c r="G39" t="inlineStr">
        <is>
          <t>NYNÄSHAMN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46269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46269</v>
      </c>
      <c r="F41" t="inlineStr">
        <is>
          <t>STOCKHOLMS LÄN</t>
        </is>
      </c>
      <c r="G41" t="inlineStr">
        <is>
          <t>NYNÄSHAMN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44455</v>
      </c>
      <c r="E42" s="1" t="n">
        <v>46269</v>
      </c>
      <c r="F42" t="inlineStr">
        <is>
          <t>STOCKHOLMS LÄN</t>
        </is>
      </c>
      <c r="G42" t="inlineStr">
        <is>
          <t>NYNÄSHAMN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46269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46269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21192-2023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45062</v>
      </c>
      <c r="E45" s="1" t="n">
        <v>46269</v>
      </c>
      <c r="F45" t="inlineStr">
        <is>
          <t>STOCKHOLMS LÄN</t>
        </is>
      </c>
      <c r="G45" t="inlineStr">
        <is>
          <t>NYNÄSHAMN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15176-2024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45400</v>
      </c>
      <c r="E46" s="1" t="n">
        <v>46269</v>
      </c>
      <c r="F46" t="inlineStr">
        <is>
          <t>STOCKHOLMS LÄN</t>
        </is>
      </c>
      <c r="G46" t="inlineStr">
        <is>
          <t>NYNÄSHAMN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22730-2025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45789</v>
      </c>
      <c r="E47" s="1" t="n">
        <v>46269</v>
      </c>
      <c r="F47" t="inlineStr">
        <is>
          <t>STOCKHOLMS LÄN</t>
        </is>
      </c>
      <c r="G47" t="inlineStr">
        <is>
          <t>NYNÄSHAMN</t>
        </is>
      </c>
      <c r="H47" t="inlineStr">
        <is>
          <t>Kommuner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46269</v>
      </c>
      <c r="F48" t="inlineStr">
        <is>
          <t>STOCKHOLMS LÄN</t>
        </is>
      </c>
      <c r="G48" t="inlineStr">
        <is>
          <t>NYNÄSHAMN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46269</v>
      </c>
      <c r="F49" t="inlineStr">
        <is>
          <t>STOCKHOLMS LÄN</t>
        </is>
      </c>
      <c r="G49" t="inlineStr">
        <is>
          <t>NYNÄSHAMN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45086</v>
      </c>
      <c r="E50" s="1" t="n">
        <v>46269</v>
      </c>
      <c r="F50" t="inlineStr">
        <is>
          <t>STOCKHOLMS LÄN</t>
        </is>
      </c>
      <c r="G50" t="inlineStr">
        <is>
          <t>NYNÄSHAMN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45139</v>
      </c>
      <c r="E51" s="1" t="n">
        <v>46269</v>
      </c>
      <c r="F51" t="inlineStr">
        <is>
          <t>STOCKHOLMS LÄN</t>
        </is>
      </c>
      <c r="G51" t="inlineStr">
        <is>
          <t>NYNÄSHAMN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52859-2024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46269</v>
      </c>
      <c r="F52" t="inlineStr">
        <is>
          <t>STOCKHOLMS LÄN</t>
        </is>
      </c>
      <c r="G52" t="inlineStr">
        <is>
          <t>NYNÄSHAMN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46269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45457</v>
      </c>
      <c r="E54" s="1" t="n">
        <v>46269</v>
      </c>
      <c r="F54" t="inlineStr">
        <is>
          <t>STOCKHOLMS LÄN</t>
        </is>
      </c>
      <c r="G54" t="inlineStr">
        <is>
          <t>NYNÄSHAMN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46269</v>
      </c>
      <c r="F55" t="inlineStr">
        <is>
          <t>STOCKHOLMS LÄN</t>
        </is>
      </c>
      <c r="G55" t="inlineStr">
        <is>
          <t>NYNÄSHAMN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46269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46269</v>
      </c>
      <c r="F57" t="inlineStr">
        <is>
          <t>STOCKHOLMS LÄN</t>
        </is>
      </c>
      <c r="G57" t="inlineStr">
        <is>
          <t>NYNÄSHAMN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44957</v>
      </c>
      <c r="E58" s="1" t="n">
        <v>46269</v>
      </c>
      <c r="F58" t="inlineStr">
        <is>
          <t>STOCKHOLMS LÄN</t>
        </is>
      </c>
      <c r="G58" t="inlineStr">
        <is>
          <t>NYNÄSHAMN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47089-2023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46269</v>
      </c>
      <c r="F59" t="inlineStr">
        <is>
          <t>STOCKHOLMS LÄN</t>
        </is>
      </c>
      <c r="G59" t="inlineStr">
        <is>
          <t>NYNÄSHAMN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46269</v>
      </c>
      <c r="F60" t="inlineStr">
        <is>
          <t>STOCKHOLMS LÄN</t>
        </is>
      </c>
      <c r="G60" t="inlineStr">
        <is>
          <t>NYNÄSHAMN</t>
        </is>
      </c>
      <c r="H60" t="inlineStr">
        <is>
          <t>Övriga statliga verk och myndigheter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46269</v>
      </c>
      <c r="F61" t="inlineStr">
        <is>
          <t>STOCKHOLMS LÄN</t>
        </is>
      </c>
      <c r="G61" t="inlineStr">
        <is>
          <t>NYNÄSHAMN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46269</v>
      </c>
      <c r="F62" t="inlineStr">
        <is>
          <t>STOCKHOLMS LÄN</t>
        </is>
      </c>
      <c r="G62" t="inlineStr">
        <is>
          <t>NYNÄSHAMN</t>
        </is>
      </c>
      <c r="H62" t="inlineStr">
        <is>
          <t>Kommuner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46269</v>
      </c>
      <c r="F63" t="inlineStr">
        <is>
          <t>STOCKHOLMS LÄN</t>
        </is>
      </c>
      <c r="G63" t="inlineStr">
        <is>
          <t>NYNÄSHAMN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46269</v>
      </c>
      <c r="F64" t="inlineStr">
        <is>
          <t>STOCKHOLMS LÄN</t>
        </is>
      </c>
      <c r="G64" t="inlineStr">
        <is>
          <t>NYNÄSHAMN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46269</v>
      </c>
      <c r="F65" t="inlineStr">
        <is>
          <t>STOCKHOLMS LÄN</t>
        </is>
      </c>
      <c r="G65" t="inlineStr">
        <is>
          <t>NYNÄSHAMN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30910-2023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46269</v>
      </c>
      <c r="F66" t="inlineStr">
        <is>
          <t>STOCKHOLMS LÄN</t>
        </is>
      </c>
      <c r="G66" t="inlineStr">
        <is>
          <t>NYNÄSHAMN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45209</v>
      </c>
      <c r="E67" s="1" t="n">
        <v>46269</v>
      </c>
      <c r="F67" t="inlineStr">
        <is>
          <t>STOCKHOLMS LÄN</t>
        </is>
      </c>
      <c r="G67" t="inlineStr">
        <is>
          <t>NYNÄSHAMN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46269</v>
      </c>
      <c r="F68" t="inlineStr">
        <is>
          <t>STOCKHOLMS LÄN</t>
        </is>
      </c>
      <c r="G68" t="inlineStr">
        <is>
          <t>NYNÄSHAMN</t>
        </is>
      </c>
      <c r="I68" t="n">
        <v>12.3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36468-2025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45869</v>
      </c>
      <c r="E69" s="1" t="n">
        <v>46269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36496-2025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45869</v>
      </c>
      <c r="E70" s="1" t="n">
        <v>46269</v>
      </c>
      <c r="F70" t="inlineStr">
        <is>
          <t>STOCKHOLMS LÄN</t>
        </is>
      </c>
      <c r="G70" t="inlineStr">
        <is>
          <t>NYNÄSHAMN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26190-2022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46269</v>
      </c>
      <c r="F71" t="inlineStr">
        <is>
          <t>STOCKHOLMS LÄN</t>
        </is>
      </c>
      <c r="G71" t="inlineStr">
        <is>
          <t>NYNÄSHAMN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52950-2024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46269</v>
      </c>
      <c r="F72" t="inlineStr">
        <is>
          <t>STOCKHOLMS LÄN</t>
        </is>
      </c>
      <c r="G72" t="inlineStr">
        <is>
          <t>NYNÄSHAMN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45274</v>
      </c>
      <c r="E73" s="1" t="n">
        <v>46269</v>
      </c>
      <c r="F73" t="inlineStr">
        <is>
          <t>STOCKHOLMS LÄN</t>
        </is>
      </c>
      <c r="G73" t="inlineStr">
        <is>
          <t>NYNÄSHAMN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34660-2023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45140</v>
      </c>
      <c r="E74" s="1" t="n">
        <v>46269</v>
      </c>
      <c r="F74" t="inlineStr">
        <is>
          <t>STOCKHOLMS LÄN</t>
        </is>
      </c>
      <c r="G74" t="inlineStr">
        <is>
          <t>NYNÄSHAMN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64494-2023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46269</v>
      </c>
      <c r="F75" t="inlineStr">
        <is>
          <t>STOCKHOLMS LÄN</t>
        </is>
      </c>
      <c r="G75" t="inlineStr">
        <is>
          <t>NYNÄSHAMN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45239</v>
      </c>
      <c r="E76" s="1" t="n">
        <v>46269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46269</v>
      </c>
      <c r="F77" t="inlineStr">
        <is>
          <t>STOCKHOLMS LÄN</t>
        </is>
      </c>
      <c r="G77" t="inlineStr">
        <is>
          <t>NYNÄSHAMN</t>
        </is>
      </c>
      <c r="H77" t="inlineStr">
        <is>
          <t>Kommuner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46269</v>
      </c>
      <c r="F78" t="inlineStr">
        <is>
          <t>STOCKHOLMS LÄN</t>
        </is>
      </c>
      <c r="G78" t="inlineStr">
        <is>
          <t>NYNÄSHAMN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47128-2023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46269</v>
      </c>
      <c r="F79" t="inlineStr">
        <is>
          <t>STOCKHOLMS LÄN</t>
        </is>
      </c>
      <c r="G79" t="inlineStr">
        <is>
          <t>NYNÄSHAMN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44574</v>
      </c>
      <c r="E80" s="1" t="n">
        <v>46269</v>
      </c>
      <c r="F80" t="inlineStr">
        <is>
          <t>STOCKHOLMS LÄN</t>
        </is>
      </c>
      <c r="G80" t="inlineStr">
        <is>
          <t>NYNÄSHAMN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45762</v>
      </c>
      <c r="E81" s="1" t="n">
        <v>46269</v>
      </c>
      <c r="F81" t="inlineStr">
        <is>
          <t>STOCKHOLMS LÄN</t>
        </is>
      </c>
      <c r="G81" t="inlineStr">
        <is>
          <t>NYNÄSHAMN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46269</v>
      </c>
      <c r="F82" t="inlineStr">
        <is>
          <t>STOCKHOLMS LÄN</t>
        </is>
      </c>
      <c r="G82" t="inlineStr">
        <is>
          <t>NYNÄSHAMN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46269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60977-2022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44908</v>
      </c>
      <c r="E84" s="1" t="n">
        <v>46269</v>
      </c>
      <c r="F84" t="inlineStr">
        <is>
          <t>STOCKHOLMS LÄN</t>
        </is>
      </c>
      <c r="G84" t="inlineStr">
        <is>
          <t>NYNÄSHAMN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7180-2024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45344</v>
      </c>
      <c r="E85" s="1" t="n">
        <v>46269</v>
      </c>
      <c r="F85" t="inlineStr">
        <is>
          <t>STOCKHOLMS LÄN</t>
        </is>
      </c>
      <c r="G85" t="inlineStr">
        <is>
          <t>NYNÄSHAMN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26505-2024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45469</v>
      </c>
      <c r="E86" s="1" t="n">
        <v>46269</v>
      </c>
      <c r="F86" t="inlineStr">
        <is>
          <t>STOCKHOLMS LÄN</t>
        </is>
      </c>
      <c r="G86" t="inlineStr">
        <is>
          <t>NYNÄSHAMN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46269</v>
      </c>
      <c r="F87" t="inlineStr">
        <is>
          <t>STOCKHOLMS LÄN</t>
        </is>
      </c>
      <c r="G87" t="inlineStr">
        <is>
          <t>NYNÄSHAMN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45173</v>
      </c>
      <c r="E88" s="1" t="n">
        <v>46269</v>
      </c>
      <c r="F88" t="inlineStr">
        <is>
          <t>STOCKHOLMS LÄN</t>
        </is>
      </c>
      <c r="G88" t="inlineStr">
        <is>
          <t>NYNÄSHAMN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45928</v>
      </c>
      <c r="E89" s="1" t="n">
        <v>46269</v>
      </c>
      <c r="F89" t="inlineStr">
        <is>
          <t>STOCKHOLMS LÄN</t>
        </is>
      </c>
      <c r="G89" t="inlineStr">
        <is>
          <t>NYNÄSHAMN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62878-2023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45272</v>
      </c>
      <c r="E90" s="1" t="n">
        <v>46269</v>
      </c>
      <c r="F90" t="inlineStr">
        <is>
          <t>STOCKHOLMS LÄN</t>
        </is>
      </c>
      <c r="G90" t="inlineStr">
        <is>
          <t>NYNÄSHAMN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45935</v>
      </c>
      <c r="E91" s="1" t="n">
        <v>46269</v>
      </c>
      <c r="F91" t="inlineStr">
        <is>
          <t>STOCKHOLMS LÄN</t>
        </is>
      </c>
      <c r="G91" t="inlineStr">
        <is>
          <t>NYNÄSHAMN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51954-2025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45952</v>
      </c>
      <c r="E92" s="1" t="n">
        <v>46269</v>
      </c>
      <c r="F92" t="inlineStr">
        <is>
          <t>STOCKHOLMS LÄN</t>
        </is>
      </c>
      <c r="G92" t="inlineStr">
        <is>
          <t>NYNÄSHAMN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56210-2025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46269</v>
      </c>
      <c r="F93" t="inlineStr">
        <is>
          <t>STOCKHOLMS LÄN</t>
        </is>
      </c>
      <c r="G93" t="inlineStr">
        <is>
          <t>NYNÄSHAMN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46269</v>
      </c>
      <c r="F94" t="inlineStr">
        <is>
          <t>STOCKHOLMS LÄN</t>
        </is>
      </c>
      <c r="G94" t="inlineStr">
        <is>
          <t>NYNÄSHAMN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46269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46269</v>
      </c>
      <c r="F96" t="inlineStr">
        <is>
          <t>STOCKHOLMS LÄN</t>
        </is>
      </c>
      <c r="G96" t="inlineStr">
        <is>
          <t>NYNÄSHAMN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46269</v>
      </c>
      <c r="F97" t="inlineStr">
        <is>
          <t>STOCKHOLMS LÄN</t>
        </is>
      </c>
      <c r="G97" t="inlineStr">
        <is>
          <t>NYNÄSHAMN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46269</v>
      </c>
      <c r="F98" t="inlineStr">
        <is>
          <t>STOCKHOLMS LÄN</t>
        </is>
      </c>
      <c r="G98" t="inlineStr">
        <is>
          <t>NYNÄSHAMN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32307-2026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46237</v>
      </c>
      <c r="E99" s="1" t="n">
        <v>46269</v>
      </c>
      <c r="F99" t="inlineStr">
        <is>
          <t>STOCKHOLMS LÄN</t>
        </is>
      </c>
      <c r="G99" t="inlineStr">
        <is>
          <t>NYNÄSHAMN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46237</v>
      </c>
      <c r="E100" s="1" t="n">
        <v>46269</v>
      </c>
      <c r="F100" t="inlineStr">
        <is>
          <t>STOCKHOLMS LÄN</t>
        </is>
      </c>
      <c r="G100" t="inlineStr">
        <is>
          <t>NYNÄSHAMN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46269</v>
      </c>
      <c r="F101" t="inlineStr">
        <is>
          <t>STOCKHOLMS LÄN</t>
        </is>
      </c>
      <c r="G101" t="inlineStr">
        <is>
          <t>NYNÄSHAMN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46269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45184</v>
      </c>
      <c r="E103" s="1" t="n">
        <v>46269</v>
      </c>
      <c r="F103" t="inlineStr">
        <is>
          <t>STOCKHOLMS LÄN</t>
        </is>
      </c>
      <c r="G103" t="inlineStr">
        <is>
          <t>NYNÄSHAMN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46269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46052</v>
      </c>
      <c r="E105" s="1" t="n">
        <v>46269</v>
      </c>
      <c r="F105" t="inlineStr">
        <is>
          <t>STOCKHOLMS LÄN</t>
        </is>
      </c>
      <c r="G105" t="inlineStr">
        <is>
          <t>NYNÄSHAMN</t>
        </is>
      </c>
      <c r="H105" t="inlineStr">
        <is>
          <t>Kyrkan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46269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46269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12032-2026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46085</v>
      </c>
      <c r="E108" s="1" t="n">
        <v>46269</v>
      </c>
      <c r="F108" t="inlineStr">
        <is>
          <t>STOCKHOLMS LÄN</t>
        </is>
      </c>
      <c r="G108" t="inlineStr">
        <is>
          <t>NYNÄSHAMN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30476-2026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46210</v>
      </c>
      <c r="E109" s="1" t="n">
        <v>46269</v>
      </c>
      <c r="F109" t="inlineStr">
        <is>
          <t>STOCKHOLMS LÄN</t>
        </is>
      </c>
      <c r="G109" t="inlineStr">
        <is>
          <t>NYNÄSHAMN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46269</v>
      </c>
      <c r="F110" t="inlineStr">
        <is>
          <t>STOCKHOLMS LÄN</t>
        </is>
      </c>
      <c r="G110" t="inlineStr">
        <is>
          <t>NYNÄSHAMN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46269</v>
      </c>
      <c r="F111" t="inlineStr">
        <is>
          <t>STOCKHOLMS LÄN</t>
        </is>
      </c>
      <c r="G111" t="inlineStr">
        <is>
          <t>NYNÄSHAMN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33667-2022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46269</v>
      </c>
      <c r="F112" t="inlineStr">
        <is>
          <t>STOCKHOLMS LÄN</t>
        </is>
      </c>
      <c r="G112" t="inlineStr">
        <is>
          <t>NYNÄSHAMN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45028</v>
      </c>
      <c r="E113" s="1" t="n">
        <v>46269</v>
      </c>
      <c r="F113" t="inlineStr">
        <is>
          <t>STOCKHOLMS LÄN</t>
        </is>
      </c>
      <c r="G113" t="inlineStr">
        <is>
          <t>NYNÄSHAMN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44986</v>
      </c>
      <c r="E114" s="1" t="n">
        <v>46269</v>
      </c>
      <c r="F114" t="inlineStr">
        <is>
          <t>STOCKHOLMS LÄN</t>
        </is>
      </c>
      <c r="G114" t="inlineStr">
        <is>
          <t>NYNÄSHAMN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45664</v>
      </c>
      <c r="E115" s="1" t="n">
        <v>46269</v>
      </c>
      <c r="F115" t="inlineStr">
        <is>
          <t>STOCKHOLMS LÄN</t>
        </is>
      </c>
      <c r="G115" t="inlineStr">
        <is>
          <t>NYNÄSHAMN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44941</v>
      </c>
      <c r="E116" s="1" t="n">
        <v>46269</v>
      </c>
      <c r="F116" t="inlineStr">
        <is>
          <t>STOCKHOLMS LÄN</t>
        </is>
      </c>
      <c r="G116" t="inlineStr">
        <is>
          <t>NYNÄSHAMN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41767-2024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45561</v>
      </c>
      <c r="E117" s="1" t="n">
        <v>46269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45747</v>
      </c>
      <c r="E118" s="1" t="n">
        <v>46269</v>
      </c>
      <c r="F118" t="inlineStr">
        <is>
          <t>STOCKHOLMS LÄN</t>
        </is>
      </c>
      <c r="G118" t="inlineStr">
        <is>
          <t>NYNÄSHAMN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46269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45779</v>
      </c>
      <c r="E120" s="1" t="n">
        <v>46269</v>
      </c>
      <c r="F120" t="inlineStr">
        <is>
          <t>STOCKHOLMS LÄN</t>
        </is>
      </c>
      <c r="G120" t="inlineStr">
        <is>
          <t>NYNÄSHAMN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46269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46269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46269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2026-09-04T02:07:27Z</dcterms:created>
  <dcterms:modified xmlns:dcterms="http://purl.org/dc/terms/" xmlns:xsi="http://www.w3.org/2001/XMLSchema-instance" xsi:type="dcterms:W3CDTF">2026-09-04T02:07:27Z</dcterms:modified>
</cp:coreProperties>
</file>