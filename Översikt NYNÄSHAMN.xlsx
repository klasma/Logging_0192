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46256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46256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46256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46256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46256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46256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46256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46256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46256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46256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46256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46256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46256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10059-2022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44621</v>
      </c>
      <c r="E18" s="1" t="n">
        <v>46256</v>
      </c>
      <c r="F18" t="inlineStr">
        <is>
          <t>STOCKHOLMS LÄN</t>
        </is>
      </c>
      <c r="G18" t="inlineStr">
        <is>
          <t>NYNÄSHAMN</t>
        </is>
      </c>
      <c r="I18" t="n">
        <v>17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Bolmört
Bollvitmossa</t>
        </is>
      </c>
      <c r="W18">
        <f>HYPERLINK("https://klasma.github.io/Logging_0192/artfynd/A 10059-2022 artfynd.xlsx", "A 10059-2022")</f>
        <v/>
      </c>
      <c r="X18">
        <f>HYPERLINK("https://klasma.github.io/Logging_0192/kartor/A 10059-2022 karta.png", "A 10059-2022")</f>
        <v/>
      </c>
      <c r="Y18">
        <f>HYPERLINK("https://klasma.github.io/Logging_0192/kartor_geotiff/A 10059-2022 georefererad karta.tif", "A 10059-2022")</f>
        <v/>
      </c>
      <c r="AA18">
        <f>HYPERLINK("https://klasma.github.io/Logging_0192/klagomål/A 10059-2022 FSC-klagomål.docx", "A 10059-2022")</f>
        <v/>
      </c>
      <c r="AB18">
        <f>HYPERLINK("https://klasma.github.io/Logging_0192/klagomålsmail/A 10059-2022 FSC-klagomål mail.docx", "A 10059-2022")</f>
        <v/>
      </c>
      <c r="AC18">
        <f>HYPERLINK("https://klasma.github.io/Logging_0192/tillsyn/A 10059-2022 tillsynsbegäran.docx", "A 10059-2022")</f>
        <v/>
      </c>
      <c r="AD18">
        <f>HYPERLINK("https://klasma.github.io/Logging_0192/tillsynsmail/A 10059-2022 tillsynsbegäran mail.docx", "A 10059-2022")</f>
        <v/>
      </c>
    </row>
    <row r="19" ht="15" customHeight="1">
      <c r="A19" t="inlineStr">
        <is>
          <t>A 33528-2023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45131</v>
      </c>
      <c r="E19" s="1" t="n">
        <v>46256</v>
      </c>
      <c r="F19" t="inlineStr">
        <is>
          <t>STOCKHOLMS LÄN</t>
        </is>
      </c>
      <c r="G19" t="inlineStr">
        <is>
          <t>NYNÄSHAMN</t>
        </is>
      </c>
      <c r="I19" t="n">
        <v>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33528-2023 artfynd.xlsx", "A 33528-2023")</f>
        <v/>
      </c>
      <c r="X19">
        <f>HYPERLINK("https://klasma.github.io/Logging_0192/kartor/A 33528-2023 karta.png", "A 33528-2023")</f>
        <v/>
      </c>
      <c r="Y19">
        <f>HYPERLINK("https://klasma.github.io/Logging_0192/kartor_geotiff/A 33528-2023 georefererad karta.tif", "A 33528-2023")</f>
        <v/>
      </c>
      <c r="AA19">
        <f>HYPERLINK("https://klasma.github.io/Logging_0192/klagomål/A 33528-2023 FSC-klagomål.docx", "A 33528-2023")</f>
        <v/>
      </c>
      <c r="AB19">
        <f>HYPERLINK("https://klasma.github.io/Logging_0192/klagomålsmail/A 33528-2023 FSC-klagomål mail.docx", "A 33528-2023")</f>
        <v/>
      </c>
      <c r="AC19">
        <f>HYPERLINK("https://klasma.github.io/Logging_0192/tillsyn/A 33528-2023 tillsynsbegäran.docx", "A 33528-2023")</f>
        <v/>
      </c>
      <c r="AD19">
        <f>HYPERLINK("https://klasma.github.io/Logging_0192/tillsynsmail/A 33528-2023 tillsynsbegäran mail.docx", "A 33528-2023")</f>
        <v/>
      </c>
    </row>
    <row r="20" ht="15" customHeight="1">
      <c r="A20" t="inlineStr">
        <is>
          <t>A 49523-2023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46256</v>
      </c>
      <c r="F20" t="inlineStr">
        <is>
          <t>STOCKHOLMS LÄN</t>
        </is>
      </c>
      <c r="G20" t="inlineStr">
        <is>
          <t>NYNÄSHAMN</t>
        </is>
      </c>
      <c r="I20" t="n">
        <v>2.2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Grönpyrola
Västlig hakmossa</t>
        </is>
      </c>
      <c r="W20">
        <f>HYPERLINK("https://klasma.github.io/Logging_0192/artfynd/A 49523-2023 artfynd.xlsx", "A 49523-2023")</f>
        <v/>
      </c>
      <c r="X20">
        <f>HYPERLINK("https://klasma.github.io/Logging_0192/kartor/A 49523-2023 karta.png", "A 49523-2023")</f>
        <v/>
      </c>
      <c r="Y20">
        <f>HYPERLINK("https://klasma.github.io/Logging_0192/kartor_geotiff/A 49523-2023 georefererad karta.tif", "A 49523-2023")</f>
        <v/>
      </c>
      <c r="AA20">
        <f>HYPERLINK("https://klasma.github.io/Logging_0192/klagomål/A 49523-2023 FSC-klagomål.docx", "A 49523-2023")</f>
        <v/>
      </c>
      <c r="AB20">
        <f>HYPERLINK("https://klasma.github.io/Logging_0192/klagomålsmail/A 49523-2023 FSC-klagomål mail.docx", "A 49523-2023")</f>
        <v/>
      </c>
      <c r="AC20">
        <f>HYPERLINK("https://klasma.github.io/Logging_0192/tillsyn/A 49523-2023 tillsynsbegäran.docx", "A 49523-2023")</f>
        <v/>
      </c>
      <c r="AD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46256</v>
      </c>
      <c r="F21" t="inlineStr">
        <is>
          <t>STOCKHOLMS LÄN</t>
        </is>
      </c>
      <c r="G21" t="inlineStr">
        <is>
          <t>NYNÄSHAMN</t>
        </is>
      </c>
      <c r="I21" t="n">
        <v>1.5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Blåsippa
Gullviva</t>
        </is>
      </c>
      <c r="W21">
        <f>HYPERLINK("https://klasma.github.io/Logging_0192/artfynd/A 64189-2023 artfynd.xlsx", "A 64189-2023")</f>
        <v/>
      </c>
      <c r="X21">
        <f>HYPERLINK("https://klasma.github.io/Logging_0192/kartor/A 64189-2023 karta.png", "A 64189-2023")</f>
        <v/>
      </c>
      <c r="Y21">
        <f>HYPERLINK("https://klasma.github.io/Logging_0192/kartor_geotiff/A 64189-2023 georefererad karta.tif", "A 64189-2023")</f>
        <v/>
      </c>
      <c r="AA21">
        <f>HYPERLINK("https://klasma.github.io/Logging_0192/klagomål/A 64189-2023 FSC-klagomål.docx", "A 64189-2023")</f>
        <v/>
      </c>
      <c r="AB21">
        <f>HYPERLINK("https://klasma.github.io/Logging_0192/klagomålsmail/A 64189-2023 FSC-klagomål mail.docx", "A 64189-2023")</f>
        <v/>
      </c>
      <c r="AC21">
        <f>HYPERLINK("https://klasma.github.io/Logging_0192/tillsyn/A 64189-2023 tillsynsbegäran.docx", "A 64189-2023")</f>
        <v/>
      </c>
      <c r="AD21">
        <f>HYPERLINK("https://klasma.github.io/Logging_0192/tillsynsmail/A 64189-2023 tillsynsbegäran mail.docx", "A 64189-2023")</f>
        <v/>
      </c>
    </row>
    <row r="22" ht="15" customHeight="1">
      <c r="A22" t="inlineStr">
        <is>
          <t>A 5567-2023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46256</v>
      </c>
      <c r="F22" t="inlineStr">
        <is>
          <t>STOCKHOLMS LÄN</t>
        </is>
      </c>
      <c r="G22" t="inlineStr">
        <is>
          <t>NYNÄSHAMN</t>
        </is>
      </c>
      <c r="I22" t="n">
        <v>10.1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Sårläka
Blåsippa</t>
        </is>
      </c>
      <c r="W22">
        <f>HYPERLINK("https://klasma.github.io/Logging_0192/artfynd/A 5567-2023 artfynd.xlsx", "A 5567-2023")</f>
        <v/>
      </c>
      <c r="X22">
        <f>HYPERLINK("https://klasma.github.io/Logging_0192/kartor/A 5567-2023 karta.png", "A 5567-2023")</f>
        <v/>
      </c>
      <c r="Y22">
        <f>HYPERLINK("https://klasma.github.io/Logging_0192/kartor_geotiff/A 5567-2023 georefererad karta.tif", "A 5567-2023")</f>
        <v/>
      </c>
      <c r="AA22">
        <f>HYPERLINK("https://klasma.github.io/Logging_0192/klagomål/A 5567-2023 FSC-klagomål.docx", "A 5567-2023")</f>
        <v/>
      </c>
      <c r="AB22">
        <f>HYPERLINK("https://klasma.github.io/Logging_0192/klagomålsmail/A 5567-2023 FSC-klagomål mail.docx", "A 5567-2023")</f>
        <v/>
      </c>
      <c r="AC22">
        <f>HYPERLINK("https://klasma.github.io/Logging_0192/tillsyn/A 5567-2023 tillsynsbegäran.docx", "A 5567-2023")</f>
        <v/>
      </c>
      <c r="AD22">
        <f>HYPERLINK("https://klasma.github.io/Logging_0192/tillsynsmail/A 5567-2023 tillsynsbegäran mail.docx", "A 5567-2023")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46256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46256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46256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46256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9017-2023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44979</v>
      </c>
      <c r="E27" s="1" t="n">
        <v>46256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2.7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HYPERLINK("https://klasma.github.io/Logging_0192/artfynd/A 9017-2023 artfynd.xlsx", "A 9017-2023")</f>
        <v/>
      </c>
      <c r="X27">
        <f>HYPERLINK("https://klasma.github.io/Logging_0192/kartor/A 9017-2023 karta.png", "A 9017-2023")</f>
        <v/>
      </c>
      <c r="Y27">
        <f>HYPERLINK("https://klasma.github.io/Logging_0192/kartor_geotiff/A 9017-2023 georefererad karta.tif", "A 9017-2023")</f>
        <v/>
      </c>
      <c r="AA27">
        <f>HYPERLINK("https://klasma.github.io/Logging_0192/klagomål/A 9017-2023 FSC-klagomål.docx", "A 9017-2023")</f>
        <v/>
      </c>
      <c r="AB27">
        <f>HYPERLINK("https://klasma.github.io/Logging_0192/klagomålsmail/A 9017-2023 FSC-klagomål mail.docx", "A 9017-2023")</f>
        <v/>
      </c>
      <c r="AC27">
        <f>HYPERLINK("https://klasma.github.io/Logging_0192/tillsyn/A 9017-2023 tillsynsbegäran.docx", "A 9017-2023")</f>
        <v/>
      </c>
      <c r="AD27">
        <f>HYPERLINK("https://klasma.github.io/Logging_0192/tillsynsmail/A 9017-2023 tillsynsbegäran mail.docx", "A 9017-2023")</f>
        <v/>
      </c>
    </row>
    <row r="28" ht="15" customHeight="1">
      <c r="A28" t="inlineStr">
        <is>
          <t>A 27748-2023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46256</v>
      </c>
      <c r="F28" t="inlineStr">
        <is>
          <t>STOCKHOLMS LÄN</t>
        </is>
      </c>
      <c r="G28" t="inlineStr">
        <is>
          <t>NYNÄSHAMN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HYPERLINK("https://klasma.github.io/Logging_0192/artfynd/A 27748-2023 artfynd.xlsx", "A 27748-2023")</f>
        <v/>
      </c>
      <c r="X28">
        <f>HYPERLINK("https://klasma.github.io/Logging_0192/kartor/A 27748-2023 karta.png", "A 27748-2023")</f>
        <v/>
      </c>
      <c r="Y28">
        <f>HYPERLINK("https://klasma.github.io/Logging_0192/kartor_geotiff/A 27748-2023 georefererad karta.tif", "A 27748-2023")</f>
        <v/>
      </c>
      <c r="AA28">
        <f>HYPERLINK("https://klasma.github.io/Logging_0192/klagomål/A 27748-2023 FSC-klagomål.docx", "A 27748-2023")</f>
        <v/>
      </c>
      <c r="AB28">
        <f>HYPERLINK("https://klasma.github.io/Logging_0192/klagomålsmail/A 27748-2023 FSC-klagomål mail.docx", "A 27748-2023")</f>
        <v/>
      </c>
      <c r="AC28">
        <f>HYPERLINK("https://klasma.github.io/Logging_0192/tillsyn/A 27748-2023 tillsynsbegäran.docx", "A 27748-2023")</f>
        <v/>
      </c>
      <c r="AD28">
        <f>HYPERLINK("https://klasma.github.io/Logging_0192/tillsynsmail/A 27748-2023 tillsynsbegäran mail.docx", "A 27748-2023")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40895-2024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46256</v>
      </c>
      <c r="F30" t="inlineStr">
        <is>
          <t>STOCKHOLMS LÄN</t>
        </is>
      </c>
      <c r="G30" t="inlineStr">
        <is>
          <t>NYNÄSHAMN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Stubbspretmossa</t>
        </is>
      </c>
      <c r="W30">
        <f>HYPERLINK("https://klasma.github.io/Logging_0192/artfynd/A 40895-2024 artfynd.xlsx", "A 40895-2024")</f>
        <v/>
      </c>
      <c r="X30">
        <f>HYPERLINK("https://klasma.github.io/Logging_0192/kartor/A 40895-2024 karta.png", "A 40895-2024")</f>
        <v/>
      </c>
      <c r="Y30">
        <f>HYPERLINK("https://klasma.github.io/Logging_0192/kartor_geotiff/A 40895-2024 georefererad karta.tif", "A 40895-2024")</f>
        <v/>
      </c>
      <c r="AA30">
        <f>HYPERLINK("https://klasma.github.io/Logging_0192/klagomål/A 40895-2024 FSC-klagomål.docx", "A 40895-2024")</f>
        <v/>
      </c>
      <c r="AB30">
        <f>HYPERLINK("https://klasma.github.io/Logging_0192/klagomålsmail/A 40895-2024 FSC-klagomål mail.docx", "A 40895-2024")</f>
        <v/>
      </c>
      <c r="AC30">
        <f>HYPERLINK("https://klasma.github.io/Logging_0192/tillsyn/A 40895-2024 tillsynsbegäran.docx", "A 40895-2024")</f>
        <v/>
      </c>
      <c r="AD30">
        <f>HYPERLINK("https://klasma.github.io/Logging_0192/tillsynsmail/A 40895-2024 tillsynsbegäran mail.docx", "A 40895-2024")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46256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46256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64196-2023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46256</v>
      </c>
      <c r="F33" t="inlineStr">
        <is>
          <t>STOCKHOLMS LÄN</t>
        </is>
      </c>
      <c r="G33" t="inlineStr">
        <is>
          <t>NYNÄSHAMN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Revlummer</t>
        </is>
      </c>
      <c r="W33">
        <f>HYPERLINK("https://klasma.github.io/Logging_0192/artfynd/A 64196-2023 artfynd.xlsx", "A 64196-2023")</f>
        <v/>
      </c>
      <c r="X33">
        <f>HYPERLINK("https://klasma.github.io/Logging_0192/kartor/A 64196-2023 karta.png", "A 64196-2023")</f>
        <v/>
      </c>
      <c r="Y33">
        <f>HYPERLINK("https://klasma.github.io/Logging_0192/kartor_geotiff/A 64196-2023 georefererad karta.tif", "A 64196-2023")</f>
        <v/>
      </c>
      <c r="AA33">
        <f>HYPERLINK("https://klasma.github.io/Logging_0192/klagomål/A 64196-2023 FSC-klagomål.docx", "A 64196-2023")</f>
        <v/>
      </c>
      <c r="AB33">
        <f>HYPERLINK("https://klasma.github.io/Logging_0192/klagomålsmail/A 64196-2023 FSC-klagomål mail.docx", "A 64196-2023")</f>
        <v/>
      </c>
      <c r="AC33">
        <f>HYPERLINK("https://klasma.github.io/Logging_0192/tillsyn/A 64196-2023 tillsynsbegäran.docx", "A 64196-2023")</f>
        <v/>
      </c>
      <c r="AD33">
        <f>HYPERLINK("https://klasma.github.io/Logging_0192/tillsynsmail/A 64196-2023 tillsynsbegäran mail.docx", "A 64196-2023")</f>
        <v/>
      </c>
    </row>
    <row r="34" ht="15" customHeight="1">
      <c r="A34" t="inlineStr">
        <is>
          <t>A 62634-2022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44917</v>
      </c>
      <c r="E34" s="1" t="n">
        <v>46256</v>
      </c>
      <c r="F34" t="inlineStr">
        <is>
          <t>STOCKHOLMS LÄN</t>
        </is>
      </c>
      <c r="G34" t="inlineStr">
        <is>
          <t>NYNÄSHAMN</t>
        </is>
      </c>
      <c r="I34" t="n">
        <v>15.8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padda</t>
        </is>
      </c>
      <c r="W34">
        <f>HYPERLINK("https://klasma.github.io/Logging_0192/artfynd/A 62634-2022 artfynd.xlsx", "A 62634-2022")</f>
        <v/>
      </c>
      <c r="X34">
        <f>HYPERLINK("https://klasma.github.io/Logging_0192/kartor/A 62634-2022 karta.png", "A 62634-2022")</f>
        <v/>
      </c>
      <c r="Y34">
        <f>HYPERLINK("https://klasma.github.io/Logging_0192/kartor_geotiff/A 62634-2022 georefererad karta.tif", "A 62634-2022")</f>
        <v/>
      </c>
      <c r="AA34">
        <f>HYPERLINK("https://klasma.github.io/Logging_0192/klagomål/A 62634-2022 FSC-klagomål.docx", "A 62634-2022")</f>
        <v/>
      </c>
      <c r="AB34">
        <f>HYPERLINK("https://klasma.github.io/Logging_0192/klagomålsmail/A 62634-2022 FSC-klagomål mail.docx", "A 62634-2022")</f>
        <v/>
      </c>
      <c r="AC34">
        <f>HYPERLINK("https://klasma.github.io/Logging_0192/tillsyn/A 62634-2022 tillsynsbegäran.docx", "A 62634-2022")</f>
        <v/>
      </c>
      <c r="AD34">
        <f>HYPERLINK("https://klasma.github.io/Logging_0192/tillsynsmail/A 62634-2022 tillsynsbegäran mail.docx", "A 62634-2022")</f>
        <v/>
      </c>
    </row>
    <row r="35" ht="15" customHeight="1">
      <c r="A35" t="inlineStr">
        <is>
          <t>A 32074-2023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46256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13.1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Grå kantarell</t>
        </is>
      </c>
      <c r="W35">
        <f>HYPERLINK("https://klasma.github.io/Logging_0192/artfynd/A 32074-2023 artfynd.xlsx", "A 32074-2023")</f>
        <v/>
      </c>
      <c r="X35">
        <f>HYPERLINK("https://klasma.github.io/Logging_0192/kartor/A 32074-2023 karta.png", "A 32074-2023")</f>
        <v/>
      </c>
      <c r="Y35">
        <f>HYPERLINK("https://klasma.github.io/Logging_0192/kartor_geotiff/A 32074-2023 georefererad karta.tif", "A 32074-2023")</f>
        <v/>
      </c>
      <c r="AA35">
        <f>HYPERLINK("https://klasma.github.io/Logging_0192/klagomål/A 32074-2023 FSC-klagomål.docx", "A 32074-2023")</f>
        <v/>
      </c>
      <c r="AB35">
        <f>HYPERLINK("https://klasma.github.io/Logging_0192/klagomålsmail/A 32074-2023 FSC-klagomål mail.docx", "A 32074-2023")</f>
        <v/>
      </c>
      <c r="AC35">
        <f>HYPERLINK("https://klasma.github.io/Logging_0192/tillsyn/A 32074-2023 tillsynsbegäran.docx", "A 32074-2023")</f>
        <v/>
      </c>
      <c r="AD35">
        <f>HYPERLINK("https://klasma.github.io/Logging_0192/tillsynsmail/A 32074-2023 tillsynsbegäran mail.docx", "A 32074-2023")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46256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46256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46256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46256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46256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46256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46256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46256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8932-2023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46256</v>
      </c>
      <c r="F44" t="inlineStr">
        <is>
          <t>STOCKHOLMS LÄN</t>
        </is>
      </c>
      <c r="G44" t="inlineStr">
        <is>
          <t>NYNÄSHAMN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46256</v>
      </c>
      <c r="F45" t="inlineStr">
        <is>
          <t>STOCKHOLMS LÄN</t>
        </is>
      </c>
      <c r="G45" t="inlineStr">
        <is>
          <t>NYNÄSHAMN</t>
        </is>
      </c>
      <c r="H45" t="inlineStr">
        <is>
          <t>Övriga statliga verk och myndigheter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46256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36052-2023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45149</v>
      </c>
      <c r="E47" s="1" t="n">
        <v>46256</v>
      </c>
      <c r="F47" t="inlineStr">
        <is>
          <t>STOCKHOLMS LÄN</t>
        </is>
      </c>
      <c r="G47" t="inlineStr">
        <is>
          <t>NYNÄSHAMN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15176-2024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45400</v>
      </c>
      <c r="E48" s="1" t="n">
        <v>46256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46256</v>
      </c>
      <c r="F49" t="inlineStr">
        <is>
          <t>STOCKHOLMS LÄN</t>
        </is>
      </c>
      <c r="G49" t="inlineStr">
        <is>
          <t>NYNÄSHAMN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46256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46256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46256</v>
      </c>
      <c r="F52" t="inlineStr">
        <is>
          <t>STOCKHOLMS LÄN</t>
        </is>
      </c>
      <c r="G52" t="inlineStr">
        <is>
          <t>NYNÄSHAMN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45457</v>
      </c>
      <c r="E53" s="1" t="n">
        <v>46256</v>
      </c>
      <c r="F53" t="inlineStr">
        <is>
          <t>STOCKHOLMS LÄN</t>
        </is>
      </c>
      <c r="G53" t="inlineStr">
        <is>
          <t>NYNÄSHAMN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44735</v>
      </c>
      <c r="E54" s="1" t="n">
        <v>46256</v>
      </c>
      <c r="F54" t="inlineStr">
        <is>
          <t>STOCKHOLMS LÄN</t>
        </is>
      </c>
      <c r="G54" t="inlineStr">
        <is>
          <t>NYNÄSHAMN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46256</v>
      </c>
      <c r="F55" t="inlineStr">
        <is>
          <t>STOCKHOLMS LÄN</t>
        </is>
      </c>
      <c r="G55" t="inlineStr">
        <is>
          <t>NYNÄSHAMN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64411-2023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46256</v>
      </c>
      <c r="F56" t="inlineStr">
        <is>
          <t>STOCKHOLMS LÄN</t>
        </is>
      </c>
      <c r="G56" t="inlineStr">
        <is>
          <t>NYNÄSHAMN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45928</v>
      </c>
      <c r="E57" s="1" t="n">
        <v>46256</v>
      </c>
      <c r="F57" t="inlineStr">
        <is>
          <t>STOCKHOLMS LÄN</t>
        </is>
      </c>
      <c r="G57" t="inlineStr">
        <is>
          <t>NYNÄSHAMN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7180-2024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45344</v>
      </c>
      <c r="E58" s="1" t="n">
        <v>46256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41677-2023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45173</v>
      </c>
      <c r="E59" s="1" t="n">
        <v>46256</v>
      </c>
      <c r="F59" t="inlineStr">
        <is>
          <t>STOCKHOLMS LÄN</t>
        </is>
      </c>
      <c r="G59" t="inlineStr">
        <is>
          <t>NYNÄSHAMN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45173</v>
      </c>
      <c r="E60" s="1" t="n">
        <v>46256</v>
      </c>
      <c r="F60" t="inlineStr">
        <is>
          <t>STOCKHOLMS LÄN</t>
        </is>
      </c>
      <c r="G60" t="inlineStr">
        <is>
          <t>NYNÄSHAMN</t>
        </is>
      </c>
      <c r="I60" t="n">
        <v>12.3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46256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44942</v>
      </c>
      <c r="E62" s="1" t="n">
        <v>46256</v>
      </c>
      <c r="F62" t="inlineStr">
        <is>
          <t>STOCKHOLMS LÄN</t>
        </is>
      </c>
      <c r="G62" t="inlineStr">
        <is>
          <t>NYNÄSHAMN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46256</v>
      </c>
      <c r="F63" t="inlineStr">
        <is>
          <t>STOCKHOLMS LÄN</t>
        </is>
      </c>
      <c r="G63" t="inlineStr">
        <is>
          <t>NYNÄSHAMN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51954-2025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45952</v>
      </c>
      <c r="E64" s="1" t="n">
        <v>46256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46256</v>
      </c>
      <c r="F65" t="inlineStr">
        <is>
          <t>STOCKHOLMS LÄN</t>
        </is>
      </c>
      <c r="G65" t="inlineStr">
        <is>
          <t>NYNÄSHAMN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46256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46256</v>
      </c>
      <c r="F67" t="inlineStr">
        <is>
          <t>STOCKHOLMS LÄN</t>
        </is>
      </c>
      <c r="G67" t="inlineStr">
        <is>
          <t>NYNÄSHAMN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46256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46256</v>
      </c>
      <c r="F69" t="inlineStr">
        <is>
          <t>STOCKHOLMS LÄN</t>
        </is>
      </c>
      <c r="G69" t="inlineStr">
        <is>
          <t>NYNÄSHAMN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46256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44941</v>
      </c>
      <c r="E71" s="1" t="n">
        <v>46256</v>
      </c>
      <c r="F71" t="inlineStr">
        <is>
          <t>STOCKHOLMS LÄN</t>
        </is>
      </c>
      <c r="G71" t="inlineStr">
        <is>
          <t>NYNÄSHAMN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21192-2023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45062</v>
      </c>
      <c r="E72" s="1" t="n">
        <v>46256</v>
      </c>
      <c r="F72" t="inlineStr">
        <is>
          <t>STOCKHOLMS LÄN</t>
        </is>
      </c>
      <c r="G72" t="inlineStr">
        <is>
          <t>NYNÄSHAMN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44979</v>
      </c>
      <c r="E73" s="1" t="n">
        <v>46256</v>
      </c>
      <c r="F73" t="inlineStr">
        <is>
          <t>STOCKHOLMS LÄN</t>
        </is>
      </c>
      <c r="G73" t="inlineStr">
        <is>
          <t>NYNÄSHAMN</t>
        </is>
      </c>
      <c r="H73" t="inlineStr">
        <is>
          <t>Kommuner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45086</v>
      </c>
      <c r="E74" s="1" t="n">
        <v>46256</v>
      </c>
      <c r="F74" t="inlineStr">
        <is>
          <t>STOCKHOLMS LÄN</t>
        </is>
      </c>
      <c r="G74" t="inlineStr">
        <is>
          <t>NYNÄSHAMN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45274</v>
      </c>
      <c r="E75" s="1" t="n">
        <v>46256</v>
      </c>
      <c r="F75" t="inlineStr">
        <is>
          <t>STOCKHOLMS LÄN</t>
        </is>
      </c>
      <c r="G75" t="inlineStr">
        <is>
          <t>NYNÄSHAMN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33667-2022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46256</v>
      </c>
      <c r="F76" t="inlineStr">
        <is>
          <t>STOCKHOLMS LÄN</t>
        </is>
      </c>
      <c r="G76" t="inlineStr">
        <is>
          <t>NYNÄSHAMN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46256</v>
      </c>
      <c r="F77" t="inlineStr">
        <is>
          <t>STOCKHOLMS LÄN</t>
        </is>
      </c>
      <c r="G77" t="inlineStr">
        <is>
          <t>NYNÄSHAMN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62878-2023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45272</v>
      </c>
      <c r="E78" s="1" t="n">
        <v>46256</v>
      </c>
      <c r="F78" t="inlineStr">
        <is>
          <t>STOCKHOLMS LÄN</t>
        </is>
      </c>
      <c r="G78" t="inlineStr">
        <is>
          <t>NYNÄSHAMN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46256</v>
      </c>
      <c r="F79" t="inlineStr">
        <is>
          <t>STOCKHOLMS LÄN</t>
        </is>
      </c>
      <c r="G79" t="inlineStr">
        <is>
          <t>NYNÄSHAMN</t>
        </is>
      </c>
      <c r="H79" t="inlineStr">
        <is>
          <t>Kommuner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46256</v>
      </c>
      <c r="F80" t="inlineStr">
        <is>
          <t>STOCKHOLMS LÄN</t>
        </is>
      </c>
      <c r="G80" t="inlineStr">
        <is>
          <t>NYNÄSHAMN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45869</v>
      </c>
      <c r="E81" s="1" t="n">
        <v>46256</v>
      </c>
      <c r="F81" t="inlineStr">
        <is>
          <t>STOCKHOLMS LÄN</t>
        </is>
      </c>
      <c r="G81" t="inlineStr">
        <is>
          <t>NYNÄSHAMN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45869</v>
      </c>
      <c r="E82" s="1" t="n">
        <v>46256</v>
      </c>
      <c r="F82" t="inlineStr">
        <is>
          <t>STOCKHOLMS LÄN</t>
        </is>
      </c>
      <c r="G82" t="inlineStr">
        <is>
          <t>NYNÄSHAMN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46256</v>
      </c>
      <c r="F83" t="inlineStr">
        <is>
          <t>STOCKHOLMS LÄN</t>
        </is>
      </c>
      <c r="G83" t="inlineStr">
        <is>
          <t>NYNÄSHAMN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46256</v>
      </c>
      <c r="F84" t="inlineStr">
        <is>
          <t>STOCKHOLMS LÄN</t>
        </is>
      </c>
      <c r="G84" t="inlineStr">
        <is>
          <t>NYNÄSHAMN</t>
        </is>
      </c>
      <c r="H84" t="inlineStr">
        <is>
          <t>Kommuner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26505-2024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45469</v>
      </c>
      <c r="E85" s="1" t="n">
        <v>46256</v>
      </c>
      <c r="F85" t="inlineStr">
        <is>
          <t>STOCKHOLMS LÄN</t>
        </is>
      </c>
      <c r="G85" t="inlineStr">
        <is>
          <t>NYNÄSHAMN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46256</v>
      </c>
      <c r="F86" t="inlineStr">
        <is>
          <t>STOCKHOLMS LÄN</t>
        </is>
      </c>
      <c r="G86" t="inlineStr">
        <is>
          <t>NYNÄSHAMN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45139</v>
      </c>
      <c r="E87" s="1" t="n">
        <v>46256</v>
      </c>
      <c r="F87" t="inlineStr">
        <is>
          <t>STOCKHOLMS LÄN</t>
        </is>
      </c>
      <c r="G87" t="inlineStr">
        <is>
          <t>NYNÄSHAMN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46256</v>
      </c>
      <c r="F88" t="inlineStr">
        <is>
          <t>STOCKHOLMS LÄN</t>
        </is>
      </c>
      <c r="G88" t="inlineStr">
        <is>
          <t>NYNÄSHAMN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46256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52950-2024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46256</v>
      </c>
      <c r="F90" t="inlineStr">
        <is>
          <t>STOCKHOLMS LÄN</t>
        </is>
      </c>
      <c r="G90" t="inlineStr">
        <is>
          <t>NYNÄSHAMN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34660-2023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46256</v>
      </c>
      <c r="F91" t="inlineStr">
        <is>
          <t>STOCKHOLMS LÄN</t>
        </is>
      </c>
      <c r="G91" t="inlineStr">
        <is>
          <t>NYNÄSHAMN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46256</v>
      </c>
      <c r="F92" t="inlineStr">
        <is>
          <t>STOCKHOLMS LÄN</t>
        </is>
      </c>
      <c r="G92" t="inlineStr">
        <is>
          <t>NYNÄSHAMN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46256</v>
      </c>
      <c r="F93" t="inlineStr">
        <is>
          <t>STOCKHOLMS LÄN</t>
        </is>
      </c>
      <c r="G93" t="inlineStr">
        <is>
          <t>NYNÄSHAMN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45561</v>
      </c>
      <c r="E94" s="1" t="n">
        <v>46256</v>
      </c>
      <c r="F94" t="inlineStr">
        <is>
          <t>STOCKHOLMS LÄN</t>
        </is>
      </c>
      <c r="G94" t="inlineStr">
        <is>
          <t>NYNÄSHAMN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45280</v>
      </c>
      <c r="E95" s="1" t="n">
        <v>46256</v>
      </c>
      <c r="F95" t="inlineStr">
        <is>
          <t>STOCKHOLMS LÄN</t>
        </is>
      </c>
      <c r="G95" t="inlineStr">
        <is>
          <t>NYNÄSHAMN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46237</v>
      </c>
      <c r="E96" s="1" t="n">
        <v>46256</v>
      </c>
      <c r="F96" t="inlineStr">
        <is>
          <t>STOCKHOLMS LÄN</t>
        </is>
      </c>
      <c r="G96" t="inlineStr">
        <is>
          <t>NYNÄSHAMN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47089-2023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46256</v>
      </c>
      <c r="F97" t="inlineStr">
        <is>
          <t>STOCKHOLMS LÄN</t>
        </is>
      </c>
      <c r="G97" t="inlineStr">
        <is>
          <t>NYNÄSHAMN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46256</v>
      </c>
      <c r="F98" t="inlineStr">
        <is>
          <t>STOCKHOLMS LÄN</t>
        </is>
      </c>
      <c r="G98" t="inlineStr">
        <is>
          <t>NYNÄSHAMN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46256</v>
      </c>
      <c r="F99" t="inlineStr">
        <is>
          <t>STOCKHOLMS LÄN</t>
        </is>
      </c>
      <c r="G99" t="inlineStr">
        <is>
          <t>NYNÄSHAMN</t>
        </is>
      </c>
      <c r="H99" t="inlineStr">
        <is>
          <t>Kyrkan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46256</v>
      </c>
      <c r="F100" t="inlineStr">
        <is>
          <t>STOCKHOLMS LÄN</t>
        </is>
      </c>
      <c r="G100" t="inlineStr">
        <is>
          <t>NYNÄSHAMN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46256</v>
      </c>
      <c r="F101" t="inlineStr">
        <is>
          <t>STOCKHOLMS LÄN</t>
        </is>
      </c>
      <c r="G101" t="inlineStr">
        <is>
          <t>NYNÄSHAMN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46256</v>
      </c>
      <c r="F102" t="inlineStr">
        <is>
          <t>STOCKHOLMS LÄN</t>
        </is>
      </c>
      <c r="G102" t="inlineStr">
        <is>
          <t>NYNÄSHAMN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46256</v>
      </c>
      <c r="F103" t="inlineStr">
        <is>
          <t>STOCKHOLMS LÄN</t>
        </is>
      </c>
      <c r="G103" t="inlineStr">
        <is>
          <t>NYNÄSHAMN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46244</v>
      </c>
      <c r="E104" s="1" t="n">
        <v>46256</v>
      </c>
      <c r="F104" t="inlineStr">
        <is>
          <t>STOCKHOLMS LÄN</t>
        </is>
      </c>
      <c r="G104" t="inlineStr">
        <is>
          <t>NYNÄSHAMN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46256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44979</v>
      </c>
      <c r="E106" s="1" t="n">
        <v>46256</v>
      </c>
      <c r="F106" t="inlineStr">
        <is>
          <t>STOCKHOLMS LÄN</t>
        </is>
      </c>
      <c r="G106" t="inlineStr">
        <is>
          <t>NYNÄSHAMN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12032-2026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46085</v>
      </c>
      <c r="E107" s="1" t="n">
        <v>46256</v>
      </c>
      <c r="F107" t="inlineStr">
        <is>
          <t>STOCKHOLMS LÄN</t>
        </is>
      </c>
      <c r="G107" t="inlineStr">
        <is>
          <t>NYNÄSHAMN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46256</v>
      </c>
      <c r="F108" t="inlineStr">
        <is>
          <t>STOCKHOLMS LÄN</t>
        </is>
      </c>
      <c r="G108" t="inlineStr">
        <is>
          <t>NYNÄSHAMN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46256</v>
      </c>
      <c r="F109" t="inlineStr">
        <is>
          <t>STOCKHOLMS LÄN</t>
        </is>
      </c>
      <c r="G109" t="inlineStr">
        <is>
          <t>NYNÄSHAMN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60977-2022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44908</v>
      </c>
      <c r="E110" s="1" t="n">
        <v>46256</v>
      </c>
      <c r="F110" t="inlineStr">
        <is>
          <t>STOCKHOLMS LÄN</t>
        </is>
      </c>
      <c r="G110" t="inlineStr">
        <is>
          <t>NYNÄSHAMN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46256</v>
      </c>
      <c r="F111" t="inlineStr">
        <is>
          <t>STOCKHOLMS LÄN</t>
        </is>
      </c>
      <c r="G111" t="inlineStr">
        <is>
          <t>NYNÄSHAMN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46256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46256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46210</v>
      </c>
      <c r="E114" s="1" t="n">
        <v>46256</v>
      </c>
      <c r="F114" t="inlineStr">
        <is>
          <t>STOCKHOLMS LÄN</t>
        </is>
      </c>
      <c r="G114" t="inlineStr">
        <is>
          <t>NYNÄSHAMN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46256</v>
      </c>
      <c r="F115" t="inlineStr">
        <is>
          <t>STOCKHOLMS LÄN</t>
        </is>
      </c>
      <c r="G115" t="inlineStr">
        <is>
          <t>NYNÄSHAMN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46256</v>
      </c>
      <c r="F116" t="inlineStr">
        <is>
          <t>STOCKHOLMS LÄN</t>
        </is>
      </c>
      <c r="G116" t="inlineStr">
        <is>
          <t>NYNÄSHAMN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46256</v>
      </c>
      <c r="F117" t="inlineStr">
        <is>
          <t>STOCKHOLMS LÄN</t>
        </is>
      </c>
      <c r="G117" t="inlineStr">
        <is>
          <t>NYNÄSHAMN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46256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46256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45779</v>
      </c>
      <c r="E120" s="1" t="n">
        <v>46256</v>
      </c>
      <c r="F120" t="inlineStr">
        <is>
          <t>STOCKHOLMS LÄN</t>
        </is>
      </c>
      <c r="G120" t="inlineStr">
        <is>
          <t>NYNÄSHAMN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46256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46256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46256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46256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2026-08-22T01:47:44Z</dcterms:created>
  <dcterms:modified xmlns:dcterms="http://purl.org/dc/terms/" xmlns:xsi="http://www.w3.org/2001/XMLSchema-instance" xsi:type="dcterms:W3CDTF">2026-08-22T01:47:44Z</dcterms:modified>
</cp:coreProperties>
</file>