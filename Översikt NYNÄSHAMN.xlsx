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46237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46237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46237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46237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46237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46237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46237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46237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46237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49523-2023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46237</v>
      </c>
      <c r="F18" t="inlineStr">
        <is>
          <t>STOCKHOLMS LÄN</t>
        </is>
      </c>
      <c r="G18" t="inlineStr">
        <is>
          <t>NYNÄSHAMN</t>
        </is>
      </c>
      <c r="I18" t="n">
        <v>2.2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Grönpyrola
Västlig hakmossa</t>
        </is>
      </c>
      <c r="W18">
        <f>HYPERLINK("https://klasma.github.io/Logging_0192/artfynd/A 49523-2023 artfynd.xlsx", "A 49523-2023")</f>
        <v/>
      </c>
      <c r="X18">
        <f>HYPERLINK("https://klasma.github.io/Logging_0192/kartor/A 49523-2023 karta.png", "A 49523-2023")</f>
        <v/>
      </c>
      <c r="Y18">
        <f>HYPERLINK("https://klasma.github.io/Logging_0192/kartor_geotiff/A 49523-2023 georefererad karta.tif", "A 49523-2023")</f>
        <v/>
      </c>
      <c r="AA18">
        <f>HYPERLINK("https://klasma.github.io/Logging_0192/klagomål/A 49523-2023 FSC-klagomål.docx", "A 49523-2023")</f>
        <v/>
      </c>
      <c r="AB18">
        <f>HYPERLINK("https://klasma.github.io/Logging_0192/klagomålsmail/A 49523-2023 FSC-klagomål mail.docx", "A 49523-2023")</f>
        <v/>
      </c>
      <c r="AC18">
        <f>HYPERLINK("https://klasma.github.io/Logging_0192/tillsyn/A 49523-2023 tillsynsbegäran.docx", "A 49523-2023")</f>
        <v/>
      </c>
      <c r="AD18">
        <f>HYPERLINK("https://klasma.github.io/Logging_0192/tillsynsmail/A 49523-2023 tillsynsbegäran mail.docx", "A 49523-2023")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46237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Bolmört
Bollvitmossa</t>
        </is>
      </c>
      <c r="W19">
        <f>HYPERLINK("https://klasma.github.io/Logging_0192/artfynd/A 10059-2022 artfynd.xlsx", "A 10059-2022")</f>
        <v/>
      </c>
      <c r="X19">
        <f>HYPERLINK("https://klasma.github.io/Logging_0192/kartor/A 10059-2022 karta.png", "A 10059-2022")</f>
        <v/>
      </c>
      <c r="Y19">
        <f>HYPERLINK("https://klasma.github.io/Logging_0192/kartor_geotiff/A 10059-2022 georefererad karta.tif", "A 10059-2022")</f>
        <v/>
      </c>
      <c r="AA19">
        <f>HYPERLINK("https://klasma.github.io/Logging_0192/klagomål/A 10059-2022 FSC-klagomål.docx", "A 10059-2022")</f>
        <v/>
      </c>
      <c r="AB19">
        <f>HYPERLINK("https://klasma.github.io/Logging_0192/klagomålsmail/A 10059-2022 FSC-klagomål mail.docx", "A 10059-2022")</f>
        <v/>
      </c>
      <c r="AC19">
        <f>HYPERLINK("https://klasma.github.io/Logging_0192/tillsyn/A 10059-2022 tillsynsbegäran.docx", "A 10059-2022")</f>
        <v/>
      </c>
      <c r="AD19">
        <f>HYPERLINK("https://klasma.github.io/Logging_0192/tillsynsmail/A 10059-2022 tillsynsbegäran mail.docx", "A 10059-2022")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46237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Sårläka
Blåsippa</t>
        </is>
      </c>
      <c r="W20">
        <f>HYPERLINK("https://klasma.github.io/Logging_0192/artfynd/A 5567-2023 artfynd.xlsx", "A 5567-2023")</f>
        <v/>
      </c>
      <c r="X20">
        <f>HYPERLINK("https://klasma.github.io/Logging_0192/kartor/A 5567-2023 karta.png", "A 5567-2023")</f>
        <v/>
      </c>
      <c r="Y20">
        <f>HYPERLINK("https://klasma.github.io/Logging_0192/kartor_geotiff/A 5567-2023 georefererad karta.tif", "A 5567-2023")</f>
        <v/>
      </c>
      <c r="AA20">
        <f>HYPERLINK("https://klasma.github.io/Logging_0192/klagomål/A 5567-2023 FSC-klagomål.docx", "A 5567-2023")</f>
        <v/>
      </c>
      <c r="AB20">
        <f>HYPERLINK("https://klasma.github.io/Logging_0192/klagomålsmail/A 5567-2023 FSC-klagomål mail.docx", "A 5567-2023")</f>
        <v/>
      </c>
      <c r="AC20">
        <f>HYPERLINK("https://klasma.github.io/Logging_0192/tillsyn/A 5567-2023 tillsynsbegäran.docx", "A 5567-2023")</f>
        <v/>
      </c>
      <c r="AD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46237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46237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46237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46237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Blåsippa
Gullviva</t>
        </is>
      </c>
      <c r="W24">
        <f>HYPERLINK("https://klasma.github.io/Logging_0192/artfynd/A 64189-2023 artfynd.xlsx", "A 64189-2023")</f>
        <v/>
      </c>
      <c r="X24">
        <f>HYPERLINK("https://klasma.github.io/Logging_0192/kartor/A 64189-2023 karta.png", "A 64189-2023")</f>
        <v/>
      </c>
      <c r="Y24">
        <f>HYPERLINK("https://klasma.github.io/Logging_0192/kartor_geotiff/A 64189-2023 georefererad karta.tif", "A 64189-2023")</f>
        <v/>
      </c>
      <c r="AA24">
        <f>HYPERLINK("https://klasma.github.io/Logging_0192/klagomål/A 64189-2023 FSC-klagomål.docx", "A 64189-2023")</f>
        <v/>
      </c>
      <c r="AB24">
        <f>HYPERLINK("https://klasma.github.io/Logging_0192/klagomålsmail/A 64189-2023 FSC-klagomål mail.docx", "A 64189-2023")</f>
        <v/>
      </c>
      <c r="AC24">
        <f>HYPERLINK("https://klasma.github.io/Logging_0192/tillsyn/A 64189-2023 tillsynsbegäran.docx", "A 64189-2023")</f>
        <v/>
      </c>
      <c r="AD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46237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33528-2023 artfynd.xlsx", "A 33528-2023")</f>
        <v/>
      </c>
      <c r="X25">
        <f>HYPERLINK("https://klasma.github.io/Logging_0192/kartor/A 33528-2023 karta.png", "A 33528-2023")</f>
        <v/>
      </c>
      <c r="Y25">
        <f>HYPERLINK("https://klasma.github.io/Logging_0192/kartor_geotiff/A 33528-2023 georefererad karta.tif", "A 33528-2023")</f>
        <v/>
      </c>
      <c r="AA25">
        <f>HYPERLINK("https://klasma.github.io/Logging_0192/klagomål/A 33528-2023 FSC-klagomål.docx", "A 33528-2023")</f>
        <v/>
      </c>
      <c r="AB25">
        <f>HYPERLINK("https://klasma.github.io/Logging_0192/klagomålsmail/A 33528-2023 FSC-klagomål mail.docx", "A 33528-2023")</f>
        <v/>
      </c>
      <c r="AC25">
        <f>HYPERLINK("https://klasma.github.io/Logging_0192/tillsyn/A 33528-2023 tillsynsbegäran.docx", "A 33528-2023")</f>
        <v/>
      </c>
      <c r="AD25">
        <f>HYPERLINK("https://klasma.github.io/Logging_0192/tillsynsmail/A 33528-2023 tillsynsbegäran mail.docx", "A 33528-2023")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46237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46237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46237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9017-2023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44979</v>
      </c>
      <c r="E29" s="1" t="n">
        <v>46237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2.7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HYPERLINK("https://klasma.github.io/Logging_0192/artfynd/A 9017-2023 artfynd.xlsx", "A 9017-2023")</f>
        <v/>
      </c>
      <c r="X29">
        <f>HYPERLINK("https://klasma.github.io/Logging_0192/kartor/A 9017-2023 karta.png", "A 9017-2023")</f>
        <v/>
      </c>
      <c r="Y29">
        <f>HYPERLINK("https://klasma.github.io/Logging_0192/kartor_geotiff/A 9017-2023 georefererad karta.tif", "A 9017-2023")</f>
        <v/>
      </c>
      <c r="AA29">
        <f>HYPERLINK("https://klasma.github.io/Logging_0192/klagomål/A 9017-2023 FSC-klagomål.docx", "A 9017-2023")</f>
        <v/>
      </c>
      <c r="AB29">
        <f>HYPERLINK("https://klasma.github.io/Logging_0192/klagomålsmail/A 9017-2023 FSC-klagomål mail.docx", "A 9017-2023")</f>
        <v/>
      </c>
      <c r="AC29">
        <f>HYPERLINK("https://klasma.github.io/Logging_0192/tillsyn/A 9017-2023 tillsynsbegäran.docx", "A 9017-2023")</f>
        <v/>
      </c>
      <c r="AD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46237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13.1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Grå kantarell</t>
        </is>
      </c>
      <c r="W30">
        <f>HYPERLINK("https://klasma.github.io/Logging_0192/artfynd/A 32074-2023 artfynd.xlsx", "A 32074-2023")</f>
        <v/>
      </c>
      <c r="X30">
        <f>HYPERLINK("https://klasma.github.io/Logging_0192/kartor/A 32074-2023 karta.png", "A 32074-2023")</f>
        <v/>
      </c>
      <c r="Y30">
        <f>HYPERLINK("https://klasma.github.io/Logging_0192/kartor_geotiff/A 32074-2023 georefererad karta.tif", "A 32074-2023")</f>
        <v/>
      </c>
      <c r="AA30">
        <f>HYPERLINK("https://klasma.github.io/Logging_0192/klagomål/A 32074-2023 FSC-klagomål.docx", "A 32074-2023")</f>
        <v/>
      </c>
      <c r="AB30">
        <f>HYPERLINK("https://klasma.github.io/Logging_0192/klagomålsmail/A 32074-2023 FSC-klagomål mail.docx", "A 32074-2023")</f>
        <v/>
      </c>
      <c r="AC30">
        <f>HYPERLINK("https://klasma.github.io/Logging_0192/tillsyn/A 32074-2023 tillsynsbegäran.docx", "A 32074-2023")</f>
        <v/>
      </c>
      <c r="AD30">
        <f>HYPERLINK("https://klasma.github.io/Logging_0192/tillsynsmail/A 32074-2023 tillsynsbegäran mail.docx", "A 32074-2023")</f>
        <v/>
      </c>
    </row>
    <row r="31" ht="15" customHeight="1">
      <c r="A31" t="inlineStr">
        <is>
          <t>A 23906-2026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46237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7.9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HYPERLINK("https://klasma.github.io/Logging_0192/artfynd/A 23906-2026 artfynd.xlsx", "A 23906-2026")</f>
        <v/>
      </c>
      <c r="X31">
        <f>HYPERLINK("https://klasma.github.io/Logging_0192/kartor/A 23906-2026 karta.png", "A 23906-2026")</f>
        <v/>
      </c>
      <c r="Y31">
        <f>HYPERLINK("https://klasma.github.io/Logging_0192/kartor_geotiff/A 23906-2026 georefererad karta.tif", "A 23906-2026")</f>
        <v/>
      </c>
      <c r="AA31">
        <f>HYPERLINK("https://klasma.github.io/Logging_0192/klagomål/A 23906-2026 FSC-klagomål.docx", "A 23906-2026")</f>
        <v/>
      </c>
      <c r="AB31">
        <f>HYPERLINK("https://klasma.github.io/Logging_0192/klagomålsmail/A 23906-2026 FSC-klagomål mail.docx", "A 23906-2026")</f>
        <v/>
      </c>
      <c r="AC31">
        <f>HYPERLINK("https://klasma.github.io/Logging_0192/tillsyn/A 23906-2026 tillsynsbegäran.docx", "A 23906-2026")</f>
        <v/>
      </c>
      <c r="AD31">
        <f>HYPERLINK("https://klasma.github.io/Logging_0192/tillsynsmail/A 23906-2026 tillsynsbegäran mail.docx", "A 23906-2026")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46237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HYPERLINK("https://klasma.github.io/Logging_0192/artfynd/A 64196-2023 artfynd.xlsx", "A 64196-2023")</f>
        <v/>
      </c>
      <c r="X32">
        <f>HYPERLINK("https://klasma.github.io/Logging_0192/kartor/A 64196-2023 karta.png", "A 64196-2023")</f>
        <v/>
      </c>
      <c r="Y32">
        <f>HYPERLINK("https://klasma.github.io/Logging_0192/kartor_geotiff/A 64196-2023 georefererad karta.tif", "A 64196-2023")</f>
        <v/>
      </c>
      <c r="AA32">
        <f>HYPERLINK("https://klasma.github.io/Logging_0192/klagomål/A 64196-2023 FSC-klagomål.docx", "A 64196-2023")</f>
        <v/>
      </c>
      <c r="AB32">
        <f>HYPERLINK("https://klasma.github.io/Logging_0192/klagomålsmail/A 64196-2023 FSC-klagomål mail.docx", "A 64196-2023")</f>
        <v/>
      </c>
      <c r="AC32">
        <f>HYPERLINK("https://klasma.github.io/Logging_0192/tillsyn/A 64196-2023 tillsynsbegäran.docx", "A 64196-2023")</f>
        <v/>
      </c>
      <c r="AD32">
        <f>HYPERLINK("https://klasma.github.io/Logging_0192/tillsynsmail/A 64196-2023 tillsynsbegäran mail.docx", "A 64196-2023")</f>
        <v/>
      </c>
    </row>
    <row r="33" ht="15" customHeight="1">
      <c r="A33" t="inlineStr">
        <is>
          <t>A 31842-2023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45118</v>
      </c>
      <c r="E33" s="1" t="n">
        <v>46237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3.8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Grön sköldmossa</t>
        </is>
      </c>
      <c r="W33">
        <f>HYPERLINK("https://klasma.github.io/Logging_0192/artfynd/A 31842-2023 artfynd.xlsx", "A 31842-2023")</f>
        <v/>
      </c>
      <c r="X33">
        <f>HYPERLINK("https://klasma.github.io/Logging_0192/kartor/A 31842-2023 karta.png", "A 31842-2023")</f>
        <v/>
      </c>
      <c r="Y33">
        <f>HYPERLINK("https://klasma.github.io/Logging_0192/kartor_geotiff/A 31842-2023 georefererad karta.tif", "A 31842-2023")</f>
        <v/>
      </c>
      <c r="AA33">
        <f>HYPERLINK("https://klasma.github.io/Logging_0192/klagomål/A 31842-2023 FSC-klagomål.docx", "A 31842-2023")</f>
        <v/>
      </c>
      <c r="AB33">
        <f>HYPERLINK("https://klasma.github.io/Logging_0192/klagomålsmail/A 31842-2023 FSC-klagomål mail.docx", "A 31842-2023")</f>
        <v/>
      </c>
      <c r="AC33">
        <f>HYPERLINK("https://klasma.github.io/Logging_0192/tillsyn/A 31842-2023 tillsynsbegäran.docx", "A 31842-2023")</f>
        <v/>
      </c>
      <c r="AD33">
        <f>HYPERLINK("https://klasma.github.io/Logging_0192/tillsynsmail/A 31842-2023 tillsynsbegäran mail.docx", "A 31842-2023")</f>
        <v/>
      </c>
    </row>
    <row r="34" ht="15" customHeight="1">
      <c r="A34" t="inlineStr">
        <is>
          <t>A 32092-2023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46237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Skärmstarr</t>
        </is>
      </c>
      <c r="W34">
        <f>HYPERLINK("https://klasma.github.io/Logging_0192/artfynd/A 32092-2023 artfynd.xlsx", "A 32092-2023")</f>
        <v/>
      </c>
      <c r="X34">
        <f>HYPERLINK("https://klasma.github.io/Logging_0192/kartor/A 32092-2023 karta.png", "A 32092-2023")</f>
        <v/>
      </c>
      <c r="Y34">
        <f>HYPERLINK("https://klasma.github.io/Logging_0192/kartor_geotiff/A 32092-2023 georefererad karta.tif", "A 32092-2023")</f>
        <v/>
      </c>
      <c r="AA34">
        <f>HYPERLINK("https://klasma.github.io/Logging_0192/klagomål/A 32092-2023 FSC-klagomål.docx", "A 32092-2023")</f>
        <v/>
      </c>
      <c r="AB34">
        <f>HYPERLINK("https://klasma.github.io/Logging_0192/klagomålsmail/A 32092-2023 FSC-klagomål mail.docx", "A 32092-2023")</f>
        <v/>
      </c>
      <c r="AC34">
        <f>HYPERLINK("https://klasma.github.io/Logging_0192/tillsyn/A 32092-2023 tillsynsbegäran.docx", "A 32092-2023")</f>
        <v/>
      </c>
      <c r="AD34">
        <f>HYPERLINK("https://klasma.github.io/Logging_0192/tillsynsmail/A 32092-2023 tillsynsbegäran mail.docx", "A 32092-2023")</f>
        <v/>
      </c>
    </row>
    <row r="35" ht="15" customHeight="1">
      <c r="A35" t="inlineStr">
        <is>
          <t>A 40895-2024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45558</v>
      </c>
      <c r="E35" s="1" t="n">
        <v>46237</v>
      </c>
      <c r="F35" t="inlineStr">
        <is>
          <t>STOCKHOLMS LÄN</t>
        </is>
      </c>
      <c r="G35" t="inlineStr">
        <is>
          <t>NYNÄSHAMN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Stubbspretmossa</t>
        </is>
      </c>
      <c r="W35">
        <f>HYPERLINK("https://klasma.github.io/Logging_0192/artfynd/A 40895-2024 artfynd.xlsx", "A 40895-2024")</f>
        <v/>
      </c>
      <c r="X35">
        <f>HYPERLINK("https://klasma.github.io/Logging_0192/kartor/A 40895-2024 karta.png", "A 40895-2024")</f>
        <v/>
      </c>
      <c r="Y35">
        <f>HYPERLINK("https://klasma.github.io/Logging_0192/kartor_geotiff/A 40895-2024 georefererad karta.tif", "A 40895-2024")</f>
        <v/>
      </c>
      <c r="AA35">
        <f>HYPERLINK("https://klasma.github.io/Logging_0192/klagomål/A 40895-2024 FSC-klagomål.docx", "A 40895-2024")</f>
        <v/>
      </c>
      <c r="AB35">
        <f>HYPERLINK("https://klasma.github.io/Logging_0192/klagomålsmail/A 40895-2024 FSC-klagomål mail.docx", "A 40895-2024")</f>
        <v/>
      </c>
      <c r="AC35">
        <f>HYPERLINK("https://klasma.github.io/Logging_0192/tillsyn/A 40895-2024 tillsynsbegäran.docx", "A 40895-2024")</f>
        <v/>
      </c>
      <c r="AD35">
        <f>HYPERLINK("https://klasma.github.io/Logging_0192/tillsynsmail/A 40895-2024 tillsynsbegäran mail.docx", "A 40895-2024")</f>
        <v/>
      </c>
    </row>
    <row r="36" ht="15" customHeight="1">
      <c r="A36" t="inlineStr">
        <is>
          <t>A 32011-2023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Fiskgjuse</t>
        </is>
      </c>
      <c r="W36">
        <f>HYPERLINK("https://klasma.github.io/Logging_0192/artfynd/A 32011-2023 artfynd.xlsx", "A 32011-2023")</f>
        <v/>
      </c>
      <c r="X36">
        <f>HYPERLINK("https://klasma.github.io/Logging_0192/kartor/A 32011-2023 karta.png", "A 32011-2023")</f>
        <v/>
      </c>
      <c r="Y36">
        <f>HYPERLINK("https://klasma.github.io/Logging_0192/kartor_geotiff/A 32011-2023 georefererad karta.tif", "A 32011-2023")</f>
        <v/>
      </c>
      <c r="AA36">
        <f>HYPERLINK("https://klasma.github.io/Logging_0192/klagomål/A 32011-2023 FSC-klagomål.docx", "A 32011-2023")</f>
        <v/>
      </c>
      <c r="AB36">
        <f>HYPERLINK("https://klasma.github.io/Logging_0192/klagomålsmail/A 32011-2023 FSC-klagomål mail.docx", "A 32011-2023")</f>
        <v/>
      </c>
      <c r="AC36">
        <f>HYPERLINK("https://klasma.github.io/Logging_0192/tillsyn/A 32011-2023 tillsynsbegäran.docx", "A 32011-2023")</f>
        <v/>
      </c>
      <c r="AD36">
        <f>HYPERLINK("https://klasma.github.io/Logging_0192/tillsynsmail/A 32011-2023 tillsynsbegäran mail.docx", "A 32011-2023")</f>
        <v/>
      </c>
      <c r="AE36">
        <f>HYPERLINK("https://klasma.github.io/Logging_0192/fåglar/A 32011-2023 prioriterade fågelarter.docx", "A 32011-2023")</f>
        <v/>
      </c>
    </row>
    <row r="37" ht="15" customHeight="1">
      <c r="A37" t="inlineStr">
        <is>
          <t>A 27748-2023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46237</v>
      </c>
      <c r="F37" t="inlineStr">
        <is>
          <t>STOCKHOLMS LÄN</t>
        </is>
      </c>
      <c r="G37" t="inlineStr">
        <is>
          <t>NYNÄSHAMN</t>
        </is>
      </c>
      <c r="I37" t="n">
        <v>1.2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HYPERLINK("https://klasma.github.io/Logging_0192/artfynd/A 27748-2023 artfynd.xlsx", "A 27748-2023")</f>
        <v/>
      </c>
      <c r="X37">
        <f>HYPERLINK("https://klasma.github.io/Logging_0192/kartor/A 27748-2023 karta.png", "A 27748-2023")</f>
        <v/>
      </c>
      <c r="Y37">
        <f>HYPERLINK("https://klasma.github.io/Logging_0192/kartor_geotiff/A 27748-2023 georefererad karta.tif", "A 27748-2023")</f>
        <v/>
      </c>
      <c r="AA37">
        <f>HYPERLINK("https://klasma.github.io/Logging_0192/klagomål/A 27748-2023 FSC-klagomål.docx", "A 27748-2023")</f>
        <v/>
      </c>
      <c r="AB37">
        <f>HYPERLINK("https://klasma.github.io/Logging_0192/klagomålsmail/A 27748-2023 FSC-klagomål mail.docx", "A 27748-2023")</f>
        <v/>
      </c>
      <c r="AC37">
        <f>HYPERLINK("https://klasma.github.io/Logging_0192/tillsyn/A 27748-2023 tillsynsbegäran.docx", "A 27748-2023")</f>
        <v/>
      </c>
      <c r="AD37">
        <f>HYPERLINK("https://klasma.github.io/Logging_0192/tillsynsmail/A 27748-2023 tillsynsbegäran mail.docx", "A 27748-2023")</f>
        <v/>
      </c>
    </row>
    <row r="38" ht="15" customHeight="1">
      <c r="A38" t="inlineStr">
        <is>
          <t>A 6435-2023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46237</v>
      </c>
      <c r="F38" t="inlineStr">
        <is>
          <t>STOCKHOLMS LÄN</t>
        </is>
      </c>
      <c r="G38" t="inlineStr">
        <is>
          <t>NYNÄSHAMN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HYPERLINK("https://klasma.github.io/Logging_0192/artfynd/A 6435-2023 artfynd.xlsx", "A 6435-2023")</f>
        <v/>
      </c>
      <c r="X38">
        <f>HYPERLINK("https://klasma.github.io/Logging_0192/kartor/A 6435-2023 karta.png", "A 6435-2023")</f>
        <v/>
      </c>
      <c r="Y38">
        <f>HYPERLINK("https://klasma.github.io/Logging_0192/kartor_geotiff/A 6435-2023 georefererad karta.tif", "A 6435-2023")</f>
        <v/>
      </c>
      <c r="AA38">
        <f>HYPERLINK("https://klasma.github.io/Logging_0192/klagomål/A 6435-2023 FSC-klagomål.docx", "A 6435-2023")</f>
        <v/>
      </c>
      <c r="AB38">
        <f>HYPERLINK("https://klasma.github.io/Logging_0192/klagomålsmail/A 6435-2023 FSC-klagomål mail.docx", "A 6435-2023")</f>
        <v/>
      </c>
      <c r="AC38">
        <f>HYPERLINK("https://klasma.github.io/Logging_0192/tillsyn/A 6435-2023 tillsynsbegäran.docx", "A 6435-2023")</f>
        <v/>
      </c>
      <c r="AD38">
        <f>HYPERLINK("https://klasma.github.io/Logging_0192/tillsynsmail/A 6435-2023 tillsynsbegäran mail.docx", "A 6435-2023")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46237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46237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46237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46237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46237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46237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46237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46237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46237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46237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46237</v>
      </c>
      <c r="F50" t="inlineStr">
        <is>
          <t>STOCKHOLMS LÄN</t>
        </is>
      </c>
      <c r="G50" t="inlineStr">
        <is>
          <t>NYNÄSHAMN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46237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46237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46237</v>
      </c>
      <c r="F53" t="inlineStr">
        <is>
          <t>STOCKHOLMS LÄN</t>
        </is>
      </c>
      <c r="G53" t="inlineStr">
        <is>
          <t>NYNÄSHAMN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44680</v>
      </c>
      <c r="E54" s="1" t="n">
        <v>46237</v>
      </c>
      <c r="F54" t="inlineStr">
        <is>
          <t>STOCKHOLMS LÄN</t>
        </is>
      </c>
      <c r="G54" t="inlineStr">
        <is>
          <t>NYNÄSHAMN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46237</v>
      </c>
      <c r="F55" t="inlineStr">
        <is>
          <t>STOCKHOLMS LÄN</t>
        </is>
      </c>
      <c r="G55" t="inlineStr">
        <is>
          <t>NYNÄSHAMN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46237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46237</v>
      </c>
      <c r="F57" t="inlineStr">
        <is>
          <t>STOCKHOLMS LÄN</t>
        </is>
      </c>
      <c r="G57" t="inlineStr">
        <is>
          <t>NYNÄSHAMN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46237</v>
      </c>
      <c r="F58" t="inlineStr">
        <is>
          <t>STOCKHOLMS LÄN</t>
        </is>
      </c>
      <c r="G58" t="inlineStr">
        <is>
          <t>NYNÄSHAMN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46237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46237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46237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46237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46237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46237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46237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46237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46237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46237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46237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46237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46237</v>
      </c>
      <c r="F71" t="inlineStr">
        <is>
          <t>STOCKHOLMS LÄN</t>
        </is>
      </c>
      <c r="G71" t="inlineStr">
        <is>
          <t>NYNÄSHAMN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46237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51954-2025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45952</v>
      </c>
      <c r="E73" s="1" t="n">
        <v>46237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46237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46237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46237</v>
      </c>
      <c r="F76" t="inlineStr">
        <is>
          <t>STOCKHOLMS LÄN</t>
        </is>
      </c>
      <c r="G76" t="inlineStr">
        <is>
          <t>NYNÄSHAMN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46237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46237</v>
      </c>
      <c r="F78" t="inlineStr">
        <is>
          <t>STOCKHOLMS LÄN</t>
        </is>
      </c>
      <c r="G78" t="inlineStr">
        <is>
          <t>NYNÄSHAMN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46237</v>
      </c>
      <c r="F79" t="inlineStr">
        <is>
          <t>STOCKHOLMS LÄN</t>
        </is>
      </c>
      <c r="G79" t="inlineStr">
        <is>
          <t>NYNÄSHAMN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46237</v>
      </c>
      <c r="F80" t="inlineStr">
        <is>
          <t>STOCKHOLMS LÄN</t>
        </is>
      </c>
      <c r="G80" t="inlineStr">
        <is>
          <t>NYNÄSHAMN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46237</v>
      </c>
      <c r="F81" t="inlineStr">
        <is>
          <t>STOCKHOLMS LÄN</t>
        </is>
      </c>
      <c r="G81" t="inlineStr">
        <is>
          <t>NYNÄSHAMN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46237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46237</v>
      </c>
      <c r="F83" t="inlineStr">
        <is>
          <t>STOCKHOLMS LÄN</t>
        </is>
      </c>
      <c r="G83" t="inlineStr">
        <is>
          <t>NYNÄSHAMN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46237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46237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46237</v>
      </c>
      <c r="F86" t="inlineStr">
        <is>
          <t>STOCKHOLMS LÄN</t>
        </is>
      </c>
      <c r="G86" t="inlineStr">
        <is>
          <t>NYNÄSHAMN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46237</v>
      </c>
      <c r="F87" t="inlineStr">
        <is>
          <t>STOCKHOLMS LÄN</t>
        </is>
      </c>
      <c r="G87" t="inlineStr">
        <is>
          <t>NYNÄSHAMN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46237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46237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10224-2023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46237</v>
      </c>
      <c r="F90" t="inlineStr">
        <is>
          <t>STOCKHOLMS LÄN</t>
        </is>
      </c>
      <c r="G90" t="inlineStr">
        <is>
          <t>NYNÄSHAMN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46237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46237</v>
      </c>
      <c r="F92" t="inlineStr">
        <is>
          <t>STOCKHOLMS LÄN</t>
        </is>
      </c>
      <c r="G92" t="inlineStr">
        <is>
          <t>NYNÄSHAMN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46237</v>
      </c>
      <c r="F93" t="inlineStr">
        <is>
          <t>STOCKHOLMS LÄN</t>
        </is>
      </c>
      <c r="G93" t="inlineStr">
        <is>
          <t>NYNÄSHAMN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46237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46237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45062</v>
      </c>
      <c r="E96" s="1" t="n">
        <v>46237</v>
      </c>
      <c r="F96" t="inlineStr">
        <is>
          <t>STOCKHOLMS LÄN</t>
        </is>
      </c>
      <c r="G96" t="inlineStr">
        <is>
          <t>NYNÄSHAMN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45561</v>
      </c>
      <c r="E97" s="1" t="n">
        <v>46237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46237</v>
      </c>
      <c r="F98" t="inlineStr">
        <is>
          <t>STOCKHOLMS LÄN</t>
        </is>
      </c>
      <c r="G98" t="inlineStr">
        <is>
          <t>NYNÄSHAMN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46237</v>
      </c>
      <c r="F99" t="inlineStr">
        <is>
          <t>STOCKHOLMS LÄN</t>
        </is>
      </c>
      <c r="G99" t="inlineStr">
        <is>
          <t>NYNÄSHAMN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46237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46237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46237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45173</v>
      </c>
      <c r="E103" s="1" t="n">
        <v>46237</v>
      </c>
      <c r="F103" t="inlineStr">
        <is>
          <t>STOCKHOLMS LÄN</t>
        </is>
      </c>
      <c r="G103" t="inlineStr">
        <is>
          <t>NYNÄSHAMN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46237</v>
      </c>
      <c r="F104" t="inlineStr">
        <is>
          <t>STOCKHOLMS LÄN</t>
        </is>
      </c>
      <c r="G104" t="inlineStr">
        <is>
          <t>NYNÄSHAMN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46237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46237</v>
      </c>
      <c r="F106" t="inlineStr">
        <is>
          <t>STOCKHOLMS LÄN</t>
        </is>
      </c>
      <c r="G106" t="inlineStr">
        <is>
          <t>NYNÄSHAMN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45779</v>
      </c>
      <c r="E107" s="1" t="n">
        <v>46237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46237</v>
      </c>
      <c r="F108" t="inlineStr">
        <is>
          <t>STOCKHOLMS LÄN</t>
        </is>
      </c>
      <c r="G108" t="inlineStr">
        <is>
          <t>NYNÄSHAMN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46237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46237</v>
      </c>
      <c r="F110" t="inlineStr">
        <is>
          <t>STOCKHOLMS LÄN</t>
        </is>
      </c>
      <c r="G110" t="inlineStr">
        <is>
          <t>NYNÄSHAMN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46237</v>
      </c>
      <c r="F111" t="inlineStr">
        <is>
          <t>STOCKHOLMS LÄN</t>
        </is>
      </c>
      <c r="G111" t="inlineStr">
        <is>
          <t>NYNÄSHAMN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7180-2024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45344</v>
      </c>
      <c r="E112" s="1" t="n">
        <v>46237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60977-2022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44908</v>
      </c>
      <c r="E113" s="1" t="n">
        <v>46237</v>
      </c>
      <c r="F113" t="inlineStr">
        <is>
          <t>STOCKHOLMS LÄN</t>
        </is>
      </c>
      <c r="G113" t="inlineStr">
        <is>
          <t>NYNÄSHAMN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46237</v>
      </c>
      <c r="F114" t="inlineStr">
        <is>
          <t>STOCKHOLMS LÄN</t>
        </is>
      </c>
      <c r="G114" t="inlineStr">
        <is>
          <t>NYNÄSHAMN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46237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46237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46237</v>
      </c>
      <c r="F117" t="inlineStr">
        <is>
          <t>STOCKHOLMS LÄN</t>
        </is>
      </c>
      <c r="G117" t="inlineStr">
        <is>
          <t>NYNÄSHAMN</t>
        </is>
      </c>
      <c r="H117" t="inlineStr">
        <is>
          <t>Övriga statliga verk och myndigheter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46237</v>
      </c>
      <c r="F118" t="inlineStr">
        <is>
          <t>STOCKHOLMS LÄN</t>
        </is>
      </c>
      <c r="G118" t="inlineStr">
        <is>
          <t>NYNÄSHAMN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46237</v>
      </c>
      <c r="F119" t="inlineStr">
        <is>
          <t>STOCKHOLMS LÄN</t>
        </is>
      </c>
      <c r="G119" t="inlineStr">
        <is>
          <t>NYNÄSHAMN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46237</v>
      </c>
      <c r="F120" t="inlineStr">
        <is>
          <t>STOCKHOLMS LÄN</t>
        </is>
      </c>
      <c r="G120" t="inlineStr">
        <is>
          <t>NYNÄSHAMN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45869</v>
      </c>
      <c r="E121" s="1" t="n">
        <v>46237</v>
      </c>
      <c r="F121" t="inlineStr">
        <is>
          <t>STOCKHOLMS LÄN</t>
        </is>
      </c>
      <c r="G121" t="inlineStr">
        <is>
          <t>NYNÄSHAMN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45610</v>
      </c>
      <c r="E122" s="1" t="n">
        <v>46237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46237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46237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46237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2026-08-03T01:55:37Z</dcterms:created>
  <dcterms:modified xmlns:dcterms="http://purl.org/dc/terms/" xmlns:xsi="http://www.w3.org/2001/XMLSchema-instance" xsi:type="dcterms:W3CDTF">2026-08-03T01:55:37Z</dcterms:modified>
</cp:coreProperties>
</file>