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46225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46225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46225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46225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46225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46225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46225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46225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46225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46225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46225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46225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46225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46225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46225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46225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46225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46225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46225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46225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46225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23906-2026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46225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7.9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HYPERLINK("https://klasma.github.io/Logging_0192/artfynd/A 23906-2026 artfynd.xlsx", "A 23906-2026")</f>
        <v/>
      </c>
      <c r="X29">
        <f>HYPERLINK("https://klasma.github.io/Logging_0192/kartor/A 23906-2026 karta.png", "A 23906-2026")</f>
        <v/>
      </c>
      <c r="Y29">
        <f>HYPERLINK("https://klasma.github.io/Logging_0192/kartor_geotiff/A 23906-2026 georefererad karta.tif", "A 23906-2026")</f>
        <v/>
      </c>
      <c r="AA29">
        <f>HYPERLINK("https://klasma.github.io/Logging_0192/klagomål/A 23906-2026 FSC-klagomål.docx", "A 23906-2026")</f>
        <v/>
      </c>
      <c r="AB29">
        <f>HYPERLINK("https://klasma.github.io/Logging_0192/klagomålsmail/A 23906-2026 FSC-klagomål mail.docx", "A 23906-2026")</f>
        <v/>
      </c>
      <c r="AC29">
        <f>HYPERLINK("https://klasma.github.io/Logging_0192/tillsyn/A 23906-2026 tillsynsbegäran.docx", "A 23906-2026")</f>
        <v/>
      </c>
      <c r="AD29">
        <f>HYPERLINK("https://klasma.github.io/Logging_0192/tillsynsmail/A 23906-2026 tillsynsbegäran mail.docx", "A 23906-2026")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46225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31842-2023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45118</v>
      </c>
      <c r="E31" s="1" t="n">
        <v>46225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3.8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Grön sköldmossa</t>
        </is>
      </c>
      <c r="W31">
        <f>HYPERLINK("https://klasma.github.io/Logging_0192/artfynd/A 31842-2023 artfynd.xlsx", "A 31842-2023")</f>
        <v/>
      </c>
      <c r="X31">
        <f>HYPERLINK("https://klasma.github.io/Logging_0192/kartor/A 31842-2023 karta.png", "A 31842-2023")</f>
        <v/>
      </c>
      <c r="Y31">
        <f>HYPERLINK("https://klasma.github.io/Logging_0192/kartor_geotiff/A 31842-2023 georefererad karta.tif", "A 31842-2023")</f>
        <v/>
      </c>
      <c r="AA31">
        <f>HYPERLINK("https://klasma.github.io/Logging_0192/klagomål/A 31842-2023 FSC-klagomål.docx", "A 31842-2023")</f>
        <v/>
      </c>
      <c r="AB31">
        <f>HYPERLINK("https://klasma.github.io/Logging_0192/klagomålsmail/A 31842-2023 FSC-klagomål mail.docx", "A 31842-2023")</f>
        <v/>
      </c>
      <c r="AC31">
        <f>HYPERLINK("https://klasma.github.io/Logging_0192/tillsyn/A 31842-2023 tillsynsbegäran.docx", "A 31842-2023")</f>
        <v/>
      </c>
      <c r="AD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46225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Skärmstarr</t>
        </is>
      </c>
      <c r="W32">
        <f>HYPERLINK("https://klasma.github.io/Logging_0192/artfynd/A 32092-2023 artfynd.xlsx", "A 32092-2023")</f>
        <v/>
      </c>
      <c r="X32">
        <f>HYPERLINK("https://klasma.github.io/Logging_0192/kartor/A 32092-2023 karta.png", "A 32092-2023")</f>
        <v/>
      </c>
      <c r="Y32">
        <f>HYPERLINK("https://klasma.github.io/Logging_0192/kartor_geotiff/A 32092-2023 georefererad karta.tif", "A 32092-2023")</f>
        <v/>
      </c>
      <c r="AA32">
        <f>HYPERLINK("https://klasma.github.io/Logging_0192/klagomål/A 32092-2023 FSC-klagomål.docx", "A 32092-2023")</f>
        <v/>
      </c>
      <c r="AB32">
        <f>HYPERLINK("https://klasma.github.io/Logging_0192/klagomålsmail/A 32092-2023 FSC-klagomål mail.docx", "A 32092-2023")</f>
        <v/>
      </c>
      <c r="AC32">
        <f>HYPERLINK("https://klasma.github.io/Logging_0192/tillsyn/A 32092-2023 tillsynsbegäran.docx", "A 32092-2023")</f>
        <v/>
      </c>
      <c r="AD32">
        <f>HYPERLINK("https://klasma.github.io/Logging_0192/tillsynsmail/A 32092-2023 tillsynsbegäran mail.docx", "A 32092-2023")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46225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46225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27748-2023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46225</v>
      </c>
      <c r="F35" t="inlineStr">
        <is>
          <t>STOCKHOLMS LÄN</t>
        </is>
      </c>
      <c r="G35" t="inlineStr">
        <is>
          <t>NYNÄSHAMN</t>
        </is>
      </c>
      <c r="I35" t="n">
        <v>1.2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Ekoxe</t>
        </is>
      </c>
      <c r="W35">
        <f>HYPERLINK("https://klasma.github.io/Logging_0192/artfynd/A 27748-2023 artfynd.xlsx", "A 27748-2023")</f>
        <v/>
      </c>
      <c r="X35">
        <f>HYPERLINK("https://klasma.github.io/Logging_0192/kartor/A 27748-2023 karta.png", "A 27748-2023")</f>
        <v/>
      </c>
      <c r="Y35">
        <f>HYPERLINK("https://klasma.github.io/Logging_0192/kartor_geotiff/A 27748-2023 georefererad karta.tif", "A 27748-2023")</f>
        <v/>
      </c>
      <c r="AA35">
        <f>HYPERLINK("https://klasma.github.io/Logging_0192/klagomål/A 27748-2023 FSC-klagomål.docx", "A 27748-2023")</f>
        <v/>
      </c>
      <c r="AB35">
        <f>HYPERLINK("https://klasma.github.io/Logging_0192/klagomålsmail/A 27748-2023 FSC-klagomål mail.docx", "A 27748-2023")</f>
        <v/>
      </c>
      <c r="AC35">
        <f>HYPERLINK("https://klasma.github.io/Logging_0192/tillsyn/A 27748-2023 tillsynsbegäran.docx", "A 27748-2023")</f>
        <v/>
      </c>
      <c r="AD35">
        <f>HYPERLINK("https://klasma.github.io/Logging_0192/tillsynsmail/A 27748-2023 tillsynsbegäran mail.docx", "A 27748-2023")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46225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9017-2023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44979</v>
      </c>
      <c r="E37" s="1" t="n">
        <v>46225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2.7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Tofsvipa</t>
        </is>
      </c>
      <c r="W37">
        <f>HYPERLINK("https://klasma.github.io/Logging_0192/artfynd/A 9017-2023 artfynd.xlsx", "A 9017-2023")</f>
        <v/>
      </c>
      <c r="X37">
        <f>HYPERLINK("https://klasma.github.io/Logging_0192/kartor/A 9017-2023 karta.png", "A 9017-2023")</f>
        <v/>
      </c>
      <c r="Y37">
        <f>HYPERLINK("https://klasma.github.io/Logging_0192/kartor_geotiff/A 9017-2023 georefererad karta.tif", "A 9017-2023")</f>
        <v/>
      </c>
      <c r="AA37">
        <f>HYPERLINK("https://klasma.github.io/Logging_0192/klagomål/A 9017-2023 FSC-klagomål.docx", "A 9017-2023")</f>
        <v/>
      </c>
      <c r="AB37">
        <f>HYPERLINK("https://klasma.github.io/Logging_0192/klagomålsmail/A 9017-2023 FSC-klagomål mail.docx", "A 9017-2023")</f>
        <v/>
      </c>
      <c r="AC37">
        <f>HYPERLINK("https://klasma.github.io/Logging_0192/tillsyn/A 9017-2023 tillsynsbegäran.docx", "A 9017-2023")</f>
        <v/>
      </c>
      <c r="AD37">
        <f>HYPERLINK("https://klasma.github.io/Logging_0192/tillsynsmail/A 9017-2023 tillsynsbegäran mail.docx", "A 9017-2023")</f>
        <v/>
      </c>
    </row>
    <row r="38" ht="15" customHeight="1">
      <c r="A38" t="inlineStr">
        <is>
          <t>A 32074-2023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46225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13.1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 kantarell</t>
        </is>
      </c>
      <c r="W38">
        <f>HYPERLINK("https://klasma.github.io/Logging_0192/artfynd/A 32074-2023 artfynd.xlsx", "A 32074-2023")</f>
        <v/>
      </c>
      <c r="X38">
        <f>HYPERLINK("https://klasma.github.io/Logging_0192/kartor/A 32074-2023 karta.png", "A 32074-2023")</f>
        <v/>
      </c>
      <c r="Y38">
        <f>HYPERLINK("https://klasma.github.io/Logging_0192/kartor_geotiff/A 32074-2023 georefererad karta.tif", "A 32074-2023")</f>
        <v/>
      </c>
      <c r="AA38">
        <f>HYPERLINK("https://klasma.github.io/Logging_0192/klagomål/A 32074-2023 FSC-klagomål.docx", "A 32074-2023")</f>
        <v/>
      </c>
      <c r="AB38">
        <f>HYPERLINK("https://klasma.github.io/Logging_0192/klagomålsmail/A 32074-2023 FSC-klagomål mail.docx", "A 32074-2023")</f>
        <v/>
      </c>
      <c r="AC38">
        <f>HYPERLINK("https://klasma.github.io/Logging_0192/tillsyn/A 32074-2023 tillsynsbegäran.docx", "A 32074-2023")</f>
        <v/>
      </c>
      <c r="AD38">
        <f>HYPERLINK("https://klasma.github.io/Logging_0192/tillsynsmail/A 32074-2023 tillsynsbegäran mail.docx", "A 32074-2023")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46225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46225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46225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46225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46225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46225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46225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46225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46225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46225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46225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46225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46225</v>
      </c>
      <c r="F51" t="inlineStr">
        <is>
          <t>STOCKHOLMS LÄN</t>
        </is>
      </c>
      <c r="G51" t="inlineStr">
        <is>
          <t>NYNÄSHAMN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46225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46225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46225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46225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46225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44574</v>
      </c>
      <c r="E57" s="1" t="n">
        <v>46225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46225</v>
      </c>
      <c r="F58" t="inlineStr">
        <is>
          <t>STOCKHOLMS LÄN</t>
        </is>
      </c>
      <c r="G58" t="inlineStr">
        <is>
          <t>NYNÄSHAMN</t>
        </is>
      </c>
      <c r="H58" t="inlineStr">
        <is>
          <t>Övriga statliga verk och myndigheter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46052</v>
      </c>
      <c r="E59" s="1" t="n">
        <v>46225</v>
      </c>
      <c r="F59" t="inlineStr">
        <is>
          <t>STOCKHOLMS LÄN</t>
        </is>
      </c>
      <c r="G59" t="inlineStr">
        <is>
          <t>NYNÄSHAMN</t>
        </is>
      </c>
      <c r="H59" t="inlineStr">
        <is>
          <t>Kyrkan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46225</v>
      </c>
      <c r="F60" t="inlineStr">
        <is>
          <t>STOCKHOLMS LÄN</t>
        </is>
      </c>
      <c r="G60" t="inlineStr">
        <is>
          <t>NYNÄSHAMN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46225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46225</v>
      </c>
      <c r="F62" t="inlineStr">
        <is>
          <t>STOCKHOLMS LÄN</t>
        </is>
      </c>
      <c r="G62" t="inlineStr">
        <is>
          <t>NYNÄSHAMN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46225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36468-2025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45869</v>
      </c>
      <c r="E64" s="1" t="n">
        <v>46225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46225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46225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46225</v>
      </c>
      <c r="F67" t="inlineStr">
        <is>
          <t>STOCKHOLMS LÄN</t>
        </is>
      </c>
      <c r="G67" t="inlineStr">
        <is>
          <t>NYNÄSHAMN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12032-2026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46085</v>
      </c>
      <c r="E68" s="1" t="n">
        <v>46225</v>
      </c>
      <c r="F68" t="inlineStr">
        <is>
          <t>STOCKHOLMS LÄN</t>
        </is>
      </c>
      <c r="G68" t="inlineStr">
        <is>
          <t>NYNÄSHAMN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46225</v>
      </c>
      <c r="F69" t="inlineStr">
        <is>
          <t>STOCKHOLMS LÄN</t>
        </is>
      </c>
      <c r="G69" t="inlineStr">
        <is>
          <t>NYNÄSHAMN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51954-2025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45952</v>
      </c>
      <c r="E70" s="1" t="n">
        <v>46225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46225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46225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46225</v>
      </c>
      <c r="F73" t="inlineStr">
        <is>
          <t>STOCKHOLMS LÄN</t>
        </is>
      </c>
      <c r="G73" t="inlineStr">
        <is>
          <t>NYNÄSHAMN</t>
        </is>
      </c>
      <c r="I73" t="n">
        <v>11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60977-2022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44908</v>
      </c>
      <c r="E74" s="1" t="n">
        <v>46225</v>
      </c>
      <c r="F74" t="inlineStr">
        <is>
          <t>STOCKHOLMS LÄN</t>
        </is>
      </c>
      <c r="G74" t="inlineStr">
        <is>
          <t>NYNÄSHAMN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46225</v>
      </c>
      <c r="F75" t="inlineStr">
        <is>
          <t>STOCKHOLMS LÄN</t>
        </is>
      </c>
      <c r="G75" t="inlineStr">
        <is>
          <t>NYNÄSHAMN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46225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46225</v>
      </c>
      <c r="F77" t="inlineStr">
        <is>
          <t>STOCKHOLMS LÄN</t>
        </is>
      </c>
      <c r="G77" t="inlineStr">
        <is>
          <t>NYNÄSHAMN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46225</v>
      </c>
      <c r="F78" t="inlineStr">
        <is>
          <t>STOCKHOLMS LÄN</t>
        </is>
      </c>
      <c r="G78" t="inlineStr">
        <is>
          <t>NYNÄSHAMN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46225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45457</v>
      </c>
      <c r="E80" s="1" t="n">
        <v>46225</v>
      </c>
      <c r="F80" t="inlineStr">
        <is>
          <t>STOCKHOLMS LÄN</t>
        </is>
      </c>
      <c r="G80" t="inlineStr">
        <is>
          <t>NYNÄSHAMN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46225</v>
      </c>
      <c r="F81" t="inlineStr">
        <is>
          <t>STOCKHOLMS LÄN</t>
        </is>
      </c>
      <c r="G81" t="inlineStr">
        <is>
          <t>NYNÄSHAMN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46225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45113</v>
      </c>
      <c r="E83" s="1" t="n">
        <v>46225</v>
      </c>
      <c r="F83" t="inlineStr">
        <is>
          <t>STOCKHOLMS LÄN</t>
        </is>
      </c>
      <c r="G83" t="inlineStr">
        <is>
          <t>NYNÄSHAMN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46225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46225</v>
      </c>
      <c r="F85" t="inlineStr">
        <is>
          <t>STOCKHOLMS LÄN</t>
        </is>
      </c>
      <c r="G85" t="inlineStr">
        <is>
          <t>NYNÄSHAMN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46213</v>
      </c>
      <c r="E86" s="1" t="n">
        <v>46225</v>
      </c>
      <c r="F86" t="inlineStr">
        <is>
          <t>STOCKHOLMS LÄN</t>
        </is>
      </c>
      <c r="G86" t="inlineStr">
        <is>
          <t>NYNÄSHAMN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46170</v>
      </c>
      <c r="E87" s="1" t="n">
        <v>46225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45140</v>
      </c>
      <c r="E88" s="1" t="n">
        <v>46225</v>
      </c>
      <c r="F88" t="inlineStr">
        <is>
          <t>STOCKHOLMS LÄN</t>
        </is>
      </c>
      <c r="G88" t="inlineStr">
        <is>
          <t>NYNÄSHAMN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46225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46225</v>
      </c>
      <c r="F90" t="inlineStr">
        <is>
          <t>STOCKHOLMS LÄN</t>
        </is>
      </c>
      <c r="G90" t="inlineStr">
        <is>
          <t>NYNÄSHAMN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46225</v>
      </c>
      <c r="F91" t="inlineStr">
        <is>
          <t>STOCKHOLMS LÄN</t>
        </is>
      </c>
      <c r="G91" t="inlineStr">
        <is>
          <t>NYNÄSHAMN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46225</v>
      </c>
      <c r="F92" t="inlineStr">
        <is>
          <t>STOCKHOLMS LÄN</t>
        </is>
      </c>
      <c r="G92" t="inlineStr">
        <is>
          <t>NYNÄSHAMN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46225</v>
      </c>
      <c r="F93" t="inlineStr">
        <is>
          <t>STOCKHOLMS LÄN</t>
        </is>
      </c>
      <c r="G93" t="inlineStr">
        <is>
          <t>NYNÄSHAMN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21192-2023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45062</v>
      </c>
      <c r="E94" s="1" t="n">
        <v>46225</v>
      </c>
      <c r="F94" t="inlineStr">
        <is>
          <t>STOCKHOLMS LÄN</t>
        </is>
      </c>
      <c r="G94" t="inlineStr">
        <is>
          <t>NYNÄSHAMN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46225</v>
      </c>
      <c r="F95" t="inlineStr">
        <is>
          <t>STOCKHOLMS LÄN</t>
        </is>
      </c>
      <c r="G95" t="inlineStr">
        <is>
          <t>NYNÄSHAMN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46225</v>
      </c>
      <c r="F96" t="inlineStr">
        <is>
          <t>STOCKHOLMS LÄN</t>
        </is>
      </c>
      <c r="G96" t="inlineStr">
        <is>
          <t>NYNÄSHAMN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46225</v>
      </c>
      <c r="F97" t="inlineStr">
        <is>
          <t>STOCKHOLMS LÄN</t>
        </is>
      </c>
      <c r="G97" t="inlineStr">
        <is>
          <t>NYNÄSHAMN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46225</v>
      </c>
      <c r="F98" t="inlineStr">
        <is>
          <t>STOCKHOLMS LÄN</t>
        </is>
      </c>
      <c r="G98" t="inlineStr">
        <is>
          <t>NYNÄSHAMN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46225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46225</v>
      </c>
      <c r="F100" t="inlineStr">
        <is>
          <t>STOCKHOLMS LÄN</t>
        </is>
      </c>
      <c r="G100" t="inlineStr">
        <is>
          <t>NYNÄSHAMN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46225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46225</v>
      </c>
      <c r="F102" t="inlineStr">
        <is>
          <t>STOCKHOLMS LÄN</t>
        </is>
      </c>
      <c r="G102" t="inlineStr">
        <is>
          <t>NYNÄSHAMN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45344</v>
      </c>
      <c r="E103" s="1" t="n">
        <v>46225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46225</v>
      </c>
      <c r="F104" t="inlineStr">
        <is>
          <t>STOCKHOLMS LÄN</t>
        </is>
      </c>
      <c r="G104" t="inlineStr">
        <is>
          <t>NYNÄSHAMN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62878-2023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46225</v>
      </c>
      <c r="F105" t="inlineStr">
        <is>
          <t>STOCKHOLMS LÄN</t>
        </is>
      </c>
      <c r="G105" t="inlineStr">
        <is>
          <t>NYNÄSHAMN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44680</v>
      </c>
      <c r="E106" s="1" t="n">
        <v>46225</v>
      </c>
      <c r="F106" t="inlineStr">
        <is>
          <t>STOCKHOLMS LÄN</t>
        </is>
      </c>
      <c r="G106" t="inlineStr">
        <is>
          <t>NYNÄSHAMN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46225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46225</v>
      </c>
      <c r="F108" t="inlineStr">
        <is>
          <t>STOCKHOLMS LÄN</t>
        </is>
      </c>
      <c r="G108" t="inlineStr">
        <is>
          <t>NYNÄSHAMN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46225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46225</v>
      </c>
      <c r="F110" t="inlineStr">
        <is>
          <t>STOCKHOLMS LÄN</t>
        </is>
      </c>
      <c r="G110" t="inlineStr">
        <is>
          <t>NYNÄSHAMN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46225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44424</v>
      </c>
      <c r="E112" s="1" t="n">
        <v>46225</v>
      </c>
      <c r="F112" t="inlineStr">
        <is>
          <t>STOCKHOLMS LÄN</t>
        </is>
      </c>
      <c r="G112" t="inlineStr">
        <is>
          <t>NYNÄSHAMN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46225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46225</v>
      </c>
      <c r="F114" t="inlineStr">
        <is>
          <t>STOCKHOLMS LÄN</t>
        </is>
      </c>
      <c r="G114" t="inlineStr">
        <is>
          <t>NYNÄSHAMN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46225</v>
      </c>
      <c r="F115" t="inlineStr">
        <is>
          <t>STOCKHOLMS LÄN</t>
        </is>
      </c>
      <c r="G115" t="inlineStr">
        <is>
          <t>NYNÄSHAMN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46225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46225</v>
      </c>
      <c r="F117" t="inlineStr">
        <is>
          <t>STOCKHOLMS LÄN</t>
        </is>
      </c>
      <c r="G117" t="inlineStr">
        <is>
          <t>NYNÄSHAMN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44941</v>
      </c>
      <c r="E118" s="1" t="n">
        <v>46225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41767-2024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45561</v>
      </c>
      <c r="E119" s="1" t="n">
        <v>46225</v>
      </c>
      <c r="F119" t="inlineStr">
        <is>
          <t>STOCKHOLMS LÄN</t>
        </is>
      </c>
      <c r="G119" t="inlineStr">
        <is>
          <t>NYNÄSHAMN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46225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46225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46225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46225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46225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46225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46225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2026-07-22T01:34:28Z</dcterms:created>
  <dcterms:modified xmlns:dcterms="http://purl.org/dc/terms/" xmlns:xsi="http://www.w3.org/2001/XMLSchema-instance" xsi:type="dcterms:W3CDTF">2026-07-22T01:34:28Z</dcterms:modified>
</cp:coreProperties>
</file>