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46255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46255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46255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46255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46255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46255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46255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46255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46255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46255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46255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46255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46255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46255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46255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46255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46255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46255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46255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46255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12033-2026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46085</v>
      </c>
      <c r="E22" s="1" t="n">
        <v>46255</v>
      </c>
      <c r="F22" t="inlineStr">
        <is>
          <t>STOCKHOLMS LÄN</t>
        </is>
      </c>
      <c r="G22" t="inlineStr">
        <is>
          <t>NYNÄSHAMN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Fjällvråk
Havsörn</t>
        </is>
      </c>
      <c r="W22">
        <f>HYPERLINK("https://klasma.github.io/Logging_0192/artfynd/A 12033-2026 artfynd.xlsx", "A 12033-2026")</f>
        <v/>
      </c>
      <c r="X22">
        <f>HYPERLINK("https://klasma.github.io/Logging_0192/kartor/A 12033-2026 karta.png", "A 12033-2026")</f>
        <v/>
      </c>
      <c r="Y22">
        <f>HYPERLINK("https://klasma.github.io/Logging_0192/kartor_geotiff/A 12033-2026 georefererad karta.tif", "A 12033-2026")</f>
        <v/>
      </c>
      <c r="AA22">
        <f>HYPERLINK("https://klasma.github.io/Logging_0192/klagomål/A 12033-2026 FSC-klagomål.docx", "A 12033-2026")</f>
        <v/>
      </c>
      <c r="AB22">
        <f>HYPERLINK("https://klasma.github.io/Logging_0192/klagomålsmail/A 12033-2026 FSC-klagomål mail.docx", "A 12033-2026")</f>
        <v/>
      </c>
      <c r="AC22">
        <f>HYPERLINK("https://klasma.github.io/Logging_0192/tillsyn/A 12033-2026 tillsynsbegäran.docx", "A 12033-2026")</f>
        <v/>
      </c>
      <c r="AD22">
        <f>HYPERLINK("https://klasma.github.io/Logging_0192/tillsynsmail/A 12033-2026 tillsynsbegäran mail.docx", "A 12033-2026")</f>
        <v/>
      </c>
      <c r="AE22">
        <f>HYPERLINK("https://klasma.github.io/Logging_0192/fåglar/A 12033-2026 prioriterade fågelarter.docx", "A 12033-2026")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46255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46255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46255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46255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46255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46255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46255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46255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46255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46255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46255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23906-2026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46255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7.9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HYPERLINK("https://klasma.github.io/Logging_0192/artfynd/A 23906-2026 artfynd.xlsx", "A 23906-2026")</f>
        <v/>
      </c>
      <c r="X34">
        <f>HYPERLINK("https://klasma.github.io/Logging_0192/kartor/A 23906-2026 karta.png", "A 23906-2026")</f>
        <v/>
      </c>
      <c r="Y34">
        <f>HYPERLINK("https://klasma.github.io/Logging_0192/kartor_geotiff/A 23906-2026 georefererad karta.tif", "A 23906-2026")</f>
        <v/>
      </c>
      <c r="AA34">
        <f>HYPERLINK("https://klasma.github.io/Logging_0192/klagomål/A 23906-2026 FSC-klagomål.docx", "A 23906-2026")</f>
        <v/>
      </c>
      <c r="AB34">
        <f>HYPERLINK("https://klasma.github.io/Logging_0192/klagomålsmail/A 23906-2026 FSC-klagomål mail.docx", "A 23906-2026")</f>
        <v/>
      </c>
      <c r="AC34">
        <f>HYPERLINK("https://klasma.github.io/Logging_0192/tillsyn/A 23906-2026 tillsynsbegäran.docx", "A 23906-2026")</f>
        <v/>
      </c>
      <c r="AD34">
        <f>HYPERLINK("https://klasma.github.io/Logging_0192/tillsynsmail/A 23906-2026 tillsynsbegäran mail.docx", "A 23906-2026")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46255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46255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46255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46255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46255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46255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46255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46255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46255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46255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46255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46255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46255</v>
      </c>
      <c r="F47" t="inlineStr">
        <is>
          <t>STOCKHOLMS LÄN</t>
        </is>
      </c>
      <c r="G47" t="inlineStr">
        <is>
          <t>NYNÄSHAMN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46255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44957</v>
      </c>
      <c r="E49" s="1" t="n">
        <v>46255</v>
      </c>
      <c r="F49" t="inlineStr">
        <is>
          <t>STOCKHOLMS LÄN</t>
        </is>
      </c>
      <c r="G49" t="inlineStr">
        <is>
          <t>NYNÄSHAMN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46255</v>
      </c>
      <c r="F50" t="inlineStr">
        <is>
          <t>STOCKHOLMS LÄN</t>
        </is>
      </c>
      <c r="G50" t="inlineStr">
        <is>
          <t>NYNÄSHAMN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46255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46255</v>
      </c>
      <c r="F52" t="inlineStr">
        <is>
          <t>STOCKHOLMS LÄN</t>
        </is>
      </c>
      <c r="G52" t="inlineStr">
        <is>
          <t>NYNÄSHAMN</t>
        </is>
      </c>
      <c r="H52" t="inlineStr">
        <is>
          <t>Övriga statliga verk och myndigheter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46255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44574</v>
      </c>
      <c r="E54" s="1" t="n">
        <v>46255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46255</v>
      </c>
      <c r="F55" t="inlineStr">
        <is>
          <t>STOCKHOLMS LÄN</t>
        </is>
      </c>
      <c r="G55" t="inlineStr">
        <is>
          <t>NYNÄSHAMN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46255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46255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46255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46255</v>
      </c>
      <c r="F59" t="inlineStr">
        <is>
          <t>STOCKHOLMS LÄN</t>
        </is>
      </c>
      <c r="G59" t="inlineStr">
        <is>
          <t>NYNÄSHAMN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25175-2023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45086</v>
      </c>
      <c r="E60" s="1" t="n">
        <v>46255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46255</v>
      </c>
      <c r="F61" t="inlineStr">
        <is>
          <t>STOCKHOLMS LÄN</t>
        </is>
      </c>
      <c r="G61" t="inlineStr">
        <is>
          <t>NYNÄSHAMN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46255</v>
      </c>
      <c r="F62" t="inlineStr">
        <is>
          <t>STOCKHOLMS LÄN</t>
        </is>
      </c>
      <c r="G62" t="inlineStr">
        <is>
          <t>NYNÄSHAMN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63931-2021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46255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46255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45457</v>
      </c>
      <c r="E65" s="1" t="n">
        <v>46255</v>
      </c>
      <c r="F65" t="inlineStr">
        <is>
          <t>STOCKHOLMS LÄN</t>
        </is>
      </c>
      <c r="G65" t="inlineStr">
        <is>
          <t>NYNÄSHAMN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46255</v>
      </c>
      <c r="F66" t="inlineStr">
        <is>
          <t>STOCKHOLMS LÄN</t>
        </is>
      </c>
      <c r="G66" t="inlineStr">
        <is>
          <t>NYNÄSHAMN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46857-2025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45928</v>
      </c>
      <c r="E67" s="1" t="n">
        <v>46255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46255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47089-2023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46255</v>
      </c>
      <c r="F69" t="inlineStr">
        <is>
          <t>STOCKHOLMS LÄN</t>
        </is>
      </c>
      <c r="G69" t="inlineStr">
        <is>
          <t>NYNÄSHAMN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51954-2025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45952</v>
      </c>
      <c r="E70" s="1" t="n">
        <v>46255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45113</v>
      </c>
      <c r="E71" s="1" t="n">
        <v>46255</v>
      </c>
      <c r="F71" t="inlineStr">
        <is>
          <t>STOCKHOLMS LÄN</t>
        </is>
      </c>
      <c r="G71" t="inlineStr">
        <is>
          <t>NYNÄSHAMN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46255</v>
      </c>
      <c r="F72" t="inlineStr">
        <is>
          <t>STOCKHOLMS LÄN</t>
        </is>
      </c>
      <c r="G72" t="inlineStr">
        <is>
          <t>NYNÄSHAMN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56385-2025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46255</v>
      </c>
      <c r="F73" t="inlineStr">
        <is>
          <t>STOCKHOLMS LÄN</t>
        </is>
      </c>
      <c r="G73" t="inlineStr">
        <is>
          <t>NYNÄSHAMN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34660-2023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45140</v>
      </c>
      <c r="E74" s="1" t="n">
        <v>46255</v>
      </c>
      <c r="F74" t="inlineStr">
        <is>
          <t>STOCKHOLMS LÄN</t>
        </is>
      </c>
      <c r="G74" t="inlineStr">
        <is>
          <t>NYNÄSHAMN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46255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45196</v>
      </c>
      <c r="E76" s="1" t="n">
        <v>46255</v>
      </c>
      <c r="F76" t="inlineStr">
        <is>
          <t>STOCKHOLMS LÄN</t>
        </is>
      </c>
      <c r="G76" t="inlineStr">
        <is>
          <t>NYNÄSHAMN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44942</v>
      </c>
      <c r="E77" s="1" t="n">
        <v>46255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26505-2024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45469</v>
      </c>
      <c r="E78" s="1" t="n">
        <v>46255</v>
      </c>
      <c r="F78" t="inlineStr">
        <is>
          <t>STOCKHOLMS LÄN</t>
        </is>
      </c>
      <c r="G78" t="inlineStr">
        <is>
          <t>NYNÄSHAMN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45762</v>
      </c>
      <c r="E79" s="1" t="n">
        <v>46255</v>
      </c>
      <c r="F79" t="inlineStr">
        <is>
          <t>STOCKHOLMS LÄN</t>
        </is>
      </c>
      <c r="G79" t="inlineStr">
        <is>
          <t>NYNÄSHAMN</t>
        </is>
      </c>
      <c r="I79" t="n">
        <v>11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46255</v>
      </c>
      <c r="F80" t="inlineStr">
        <is>
          <t>STOCKHOLMS LÄN</t>
        </is>
      </c>
      <c r="G80" t="inlineStr">
        <is>
          <t>NYNÄSHAMN</t>
        </is>
      </c>
      <c r="H80" t="inlineStr">
        <is>
          <t>Kyrkan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46255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60977-2022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44908</v>
      </c>
      <c r="E82" s="1" t="n">
        <v>46255</v>
      </c>
      <c r="F82" t="inlineStr">
        <is>
          <t>STOCKHOLMS LÄN</t>
        </is>
      </c>
      <c r="G82" t="inlineStr">
        <is>
          <t>NYNÄSHAMN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46255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46255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46255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46255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46255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46255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45280</v>
      </c>
      <c r="E89" s="1" t="n">
        <v>46255</v>
      </c>
      <c r="F89" t="inlineStr">
        <is>
          <t>STOCKHOLMS LÄN</t>
        </is>
      </c>
      <c r="G89" t="inlineStr">
        <is>
          <t>NYNÄSHAMN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46255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46255</v>
      </c>
      <c r="F91" t="inlineStr">
        <is>
          <t>STOCKHOLMS LÄN</t>
        </is>
      </c>
      <c r="G91" t="inlineStr">
        <is>
          <t>NYNÄSHAMN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45344</v>
      </c>
      <c r="E92" s="1" t="n">
        <v>46255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46255</v>
      </c>
      <c r="F93" t="inlineStr">
        <is>
          <t>STOCKHOLMS LÄN</t>
        </is>
      </c>
      <c r="G93" t="inlineStr">
        <is>
          <t>NYNÄSHAMN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46255</v>
      </c>
      <c r="F94" t="inlineStr">
        <is>
          <t>STOCKHOLMS LÄN</t>
        </is>
      </c>
      <c r="G94" t="inlineStr">
        <is>
          <t>NYNÄSHAMN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46255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46255</v>
      </c>
      <c r="F96" t="inlineStr">
        <is>
          <t>STOCKHOLMS LÄN</t>
        </is>
      </c>
      <c r="G96" t="inlineStr">
        <is>
          <t>NYNÄSHAMN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46255</v>
      </c>
      <c r="F97" t="inlineStr">
        <is>
          <t>STOCKHOLMS LÄN</t>
        </is>
      </c>
      <c r="G97" t="inlineStr">
        <is>
          <t>NYNÄSHAMN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46255</v>
      </c>
      <c r="F98" t="inlineStr">
        <is>
          <t>STOCKHOLMS LÄN</t>
        </is>
      </c>
      <c r="G98" t="inlineStr">
        <is>
          <t>NYNÄSHAMN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46255</v>
      </c>
      <c r="F99" t="inlineStr">
        <is>
          <t>STOCKHOLMS LÄN</t>
        </is>
      </c>
      <c r="G99" t="inlineStr">
        <is>
          <t>NYNÄSHAMN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46255</v>
      </c>
      <c r="F100" t="inlineStr">
        <is>
          <t>STOCKHOLMS LÄN</t>
        </is>
      </c>
      <c r="G100" t="inlineStr">
        <is>
          <t>NYNÄSHAMN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45520</v>
      </c>
      <c r="E101" s="1" t="n">
        <v>46255</v>
      </c>
      <c r="F101" t="inlineStr">
        <is>
          <t>STOCKHOLMS LÄN</t>
        </is>
      </c>
      <c r="G101" t="inlineStr">
        <is>
          <t>NYNÄSHAMN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46255</v>
      </c>
      <c r="F102" t="inlineStr">
        <is>
          <t>STOCKHOLMS LÄN</t>
        </is>
      </c>
      <c r="G102" t="inlineStr">
        <is>
          <t>NYNÄSHAMN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46255</v>
      </c>
      <c r="F103" t="inlineStr">
        <is>
          <t>STOCKHOLMS LÄN</t>
        </is>
      </c>
      <c r="G103" t="inlineStr">
        <is>
          <t>NYNÄSHAMN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46255</v>
      </c>
      <c r="F104" t="inlineStr">
        <is>
          <t>STOCKHOLMS LÄN</t>
        </is>
      </c>
      <c r="G104" t="inlineStr">
        <is>
          <t>NYNÄSHAMN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44789</v>
      </c>
      <c r="E105" s="1" t="n">
        <v>46255</v>
      </c>
      <c r="F105" t="inlineStr">
        <is>
          <t>STOCKHOLMS LÄN</t>
        </is>
      </c>
      <c r="G105" t="inlineStr">
        <is>
          <t>NYNÄSHAMN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46244</v>
      </c>
      <c r="E106" s="1" t="n">
        <v>46255</v>
      </c>
      <c r="F106" t="inlineStr">
        <is>
          <t>STOCKHOLMS LÄN</t>
        </is>
      </c>
      <c r="G106" t="inlineStr">
        <is>
          <t>NYNÄSHAMN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46255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46255</v>
      </c>
      <c r="F108" t="inlineStr">
        <is>
          <t>STOCKHOLMS LÄN</t>
        </is>
      </c>
      <c r="G108" t="inlineStr">
        <is>
          <t>NYNÄSHAMN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46255</v>
      </c>
      <c r="F109" t="inlineStr">
        <is>
          <t>STOCKHOLMS LÄN</t>
        </is>
      </c>
      <c r="G109" t="inlineStr">
        <is>
          <t>NYNÄSHAMN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46255</v>
      </c>
      <c r="F110" t="inlineStr">
        <is>
          <t>STOCKHOLMS LÄN</t>
        </is>
      </c>
      <c r="G110" t="inlineStr">
        <is>
          <t>NYNÄSHAMN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46255</v>
      </c>
      <c r="F111" t="inlineStr">
        <is>
          <t>STOCKHOLMS LÄN</t>
        </is>
      </c>
      <c r="G111" t="inlineStr">
        <is>
          <t>NYNÄSHAMN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46245</v>
      </c>
      <c r="E112" s="1" t="n">
        <v>46255</v>
      </c>
      <c r="F112" t="inlineStr">
        <is>
          <t>STOCKHOLMS LÄN</t>
        </is>
      </c>
      <c r="G112" t="inlineStr">
        <is>
          <t>NYNÄSHAMN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44941</v>
      </c>
      <c r="E113" s="1" t="n">
        <v>46255</v>
      </c>
      <c r="F113" t="inlineStr">
        <is>
          <t>STOCKHOLMS LÄN</t>
        </is>
      </c>
      <c r="G113" t="inlineStr">
        <is>
          <t>NYNÄSHAMN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41767-2024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45561</v>
      </c>
      <c r="E114" s="1" t="n">
        <v>46255</v>
      </c>
      <c r="F114" t="inlineStr">
        <is>
          <t>STOCKHOLMS LÄN</t>
        </is>
      </c>
      <c r="G114" t="inlineStr">
        <is>
          <t>NYNÄSHAMN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12032-2026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46085</v>
      </c>
      <c r="E115" s="1" t="n">
        <v>46255</v>
      </c>
      <c r="F115" t="inlineStr">
        <is>
          <t>STOCKHOLMS LÄN</t>
        </is>
      </c>
      <c r="G115" t="inlineStr">
        <is>
          <t>NYNÄSHAMN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46255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46210</v>
      </c>
      <c r="E117" s="1" t="n">
        <v>46255</v>
      </c>
      <c r="F117" t="inlineStr">
        <is>
          <t>STOCKHOLMS LÄN</t>
        </is>
      </c>
      <c r="G117" t="inlineStr">
        <is>
          <t>NYNÄSHAMN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46255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45779</v>
      </c>
      <c r="E119" s="1" t="n">
        <v>46255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46210</v>
      </c>
      <c r="E120" s="1" t="n">
        <v>46255</v>
      </c>
      <c r="F120" t="inlineStr">
        <is>
          <t>STOCKHOLMS LÄN</t>
        </is>
      </c>
      <c r="G120" t="inlineStr">
        <is>
          <t>NYNÄSHAMN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46255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46255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46255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46255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2026-08-21T01:52:12Z</dcterms:created>
  <dcterms:modified xmlns:dcterms="http://purl.org/dc/terms/" xmlns:xsi="http://www.w3.org/2001/XMLSchema-instance" xsi:type="dcterms:W3CDTF">2026-08-21T01:52:12Z</dcterms:modified>
</cp:coreProperties>
</file>