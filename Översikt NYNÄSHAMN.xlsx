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5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43747-2024</t>
        </is>
      </c>
      <c r="B2" s="1" t="n">
        <v>45569</v>
      </c>
      <c r="C2" s="1" t="n">
        <v>45930</v>
      </c>
      <c r="D2" t="inlineStr">
        <is>
          <t>STOCKHOLMS LÄN</t>
        </is>
      </c>
      <c r="E2" t="inlineStr">
        <is>
          <t>NYNÄSHAMN</t>
        </is>
      </c>
      <c r="G2" t="n">
        <v>8.6</v>
      </c>
      <c r="H2" t="n">
        <v>3</v>
      </c>
      <c r="I2" t="n">
        <v>13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17</v>
      </c>
      <c r="R2" s="2" t="inlineStr">
        <is>
          <t>Motaggsvamp
Spillkråka
Tallticka
Blanksvart trämyra
Brandticka
Bronshjon
Grön sköldmossa
Hasselticka
Kattfotslav
Klippfrullania
Mörk husmossa
Platt fjädermossa
Skogshakmossa
Stubbspretmossa
Tibast
Trådticka
Gröngöling</t>
        </is>
      </c>
      <c r="S2">
        <f>HYPERLINK("https://klasma.github.io/Logging_0192/artfynd/A 43747-2024 artfynd.xlsx", "A 43747-2024")</f>
        <v/>
      </c>
      <c r="T2">
        <f>HYPERLINK("https://klasma.github.io/Logging_0192/kartor/A 43747-2024 karta.png", "A 43747-2024")</f>
        <v/>
      </c>
      <c r="V2">
        <f>HYPERLINK("https://klasma.github.io/Logging_0192/klagomål/A 43747-2024 FSC-klagomål.docx", "A 43747-2024")</f>
        <v/>
      </c>
      <c r="W2">
        <f>HYPERLINK("https://klasma.github.io/Logging_0192/klagomålsmail/A 43747-2024 FSC-klagomål mail.docx", "A 43747-2024")</f>
        <v/>
      </c>
      <c r="X2">
        <f>HYPERLINK("https://klasma.github.io/Logging_0192/tillsyn/A 43747-2024 tillsynsbegäran.docx", "A 43747-2024")</f>
        <v/>
      </c>
      <c r="Y2">
        <f>HYPERLINK("https://klasma.github.io/Logging_0192/tillsynsmail/A 43747-2024 tillsynsbegäran mail.docx", "A 43747-2024")</f>
        <v/>
      </c>
      <c r="Z2">
        <f>HYPERLINK("https://klasma.github.io/Logging_0192/fåglar/A 43747-2024 prioriterade fågelarter.docx", "A 43747-2024")</f>
        <v/>
      </c>
    </row>
    <row r="3" ht="15" customHeight="1">
      <c r="A3" t="inlineStr">
        <is>
          <t>A 35557-2025</t>
        </is>
      </c>
      <c r="B3" s="1" t="n">
        <v>45856</v>
      </c>
      <c r="C3" s="1" t="n">
        <v>45930</v>
      </c>
      <c r="D3" t="inlineStr">
        <is>
          <t>STOCKHOLMS LÄN</t>
        </is>
      </c>
      <c r="E3" t="inlineStr">
        <is>
          <t>NYNÄSHAMN</t>
        </is>
      </c>
      <c r="G3" t="n">
        <v>8.5</v>
      </c>
      <c r="H3" t="n">
        <v>6</v>
      </c>
      <c r="I3" t="n">
        <v>5</v>
      </c>
      <c r="J3" t="n">
        <v>6</v>
      </c>
      <c r="K3" t="n">
        <v>2</v>
      </c>
      <c r="L3" t="n">
        <v>0</v>
      </c>
      <c r="M3" t="n">
        <v>0</v>
      </c>
      <c r="N3" t="n">
        <v>0</v>
      </c>
      <c r="O3" t="n">
        <v>8</v>
      </c>
      <c r="P3" t="n">
        <v>2</v>
      </c>
      <c r="Q3" t="n">
        <v>16</v>
      </c>
      <c r="R3" s="2" t="inlineStr">
        <is>
          <t>Hasselsnok
Knärot
Dofttaggsvamp
Gul taggsvamp
Spillkråka
Tallticka
Ullticka
Vedskivlav
Björksplintborre
Blåmossa
Bronshjon
Rävticka
Vedticka
Gröngöling
Mattlummer
Revlummer</t>
        </is>
      </c>
      <c r="S3">
        <f>HYPERLINK("https://klasma.github.io/Logging_0192/artfynd/A 35557-2025 artfynd.xlsx", "A 35557-2025")</f>
        <v/>
      </c>
      <c r="T3">
        <f>HYPERLINK("https://klasma.github.io/Logging_0192/kartor/A 35557-2025 karta.png", "A 35557-2025")</f>
        <v/>
      </c>
      <c r="U3">
        <f>HYPERLINK("https://klasma.github.io/Logging_0192/knärot/A 35557-2025 karta knärot.png", "A 35557-2025")</f>
        <v/>
      </c>
      <c r="V3">
        <f>HYPERLINK("https://klasma.github.io/Logging_0192/klagomål/A 35557-2025 FSC-klagomål.docx", "A 35557-2025")</f>
        <v/>
      </c>
      <c r="W3">
        <f>HYPERLINK("https://klasma.github.io/Logging_0192/klagomålsmail/A 35557-2025 FSC-klagomål mail.docx", "A 35557-2025")</f>
        <v/>
      </c>
      <c r="X3">
        <f>HYPERLINK("https://klasma.github.io/Logging_0192/tillsyn/A 35557-2025 tillsynsbegäran.docx", "A 35557-2025")</f>
        <v/>
      </c>
      <c r="Y3">
        <f>HYPERLINK("https://klasma.github.io/Logging_0192/tillsynsmail/A 35557-2025 tillsynsbegäran mail.docx", "A 35557-2025")</f>
        <v/>
      </c>
      <c r="Z3">
        <f>HYPERLINK("https://klasma.github.io/Logging_0192/fåglar/A 35557-2025 prioriterade fågelarter.docx", "A 35557-2025")</f>
        <v/>
      </c>
    </row>
    <row r="4" ht="15" customHeight="1">
      <c r="A4" t="inlineStr">
        <is>
          <t>A 1212-2023</t>
        </is>
      </c>
      <c r="B4" s="1" t="n">
        <v>44935</v>
      </c>
      <c r="C4" s="1" t="n">
        <v>45930</v>
      </c>
      <c r="D4" t="inlineStr">
        <is>
          <t>STOCKHOLMS LÄN</t>
        </is>
      </c>
      <c r="E4" t="inlineStr">
        <is>
          <t>NYNÄSHAMN</t>
        </is>
      </c>
      <c r="G4" t="n">
        <v>3.9</v>
      </c>
      <c r="H4" t="n">
        <v>4</v>
      </c>
      <c r="I4" t="n">
        <v>8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10</v>
      </c>
      <c r="R4" s="2" t="inlineStr">
        <is>
          <t>Knärot
Grön sköldmossa
Hasselticka
Kattfotslav
Kornknutmossa
Skogsknipprot
Stor revmossa
Sårläka
Västlig hakmossa
Blåsippa</t>
        </is>
      </c>
      <c r="S4">
        <f>HYPERLINK("https://klasma.github.io/Logging_0192/artfynd/A 1212-2023 artfynd.xlsx", "A 1212-2023")</f>
        <v/>
      </c>
      <c r="T4">
        <f>HYPERLINK("https://klasma.github.io/Logging_0192/kartor/A 1212-2023 karta.png", "A 1212-2023")</f>
        <v/>
      </c>
      <c r="U4">
        <f>HYPERLINK("https://klasma.github.io/Logging_0192/knärot/A 1212-2023 karta knärot.png", "A 1212-2023")</f>
        <v/>
      </c>
      <c r="V4">
        <f>HYPERLINK("https://klasma.github.io/Logging_0192/klagomål/A 1212-2023 FSC-klagomål.docx", "A 1212-2023")</f>
        <v/>
      </c>
      <c r="W4">
        <f>HYPERLINK("https://klasma.github.io/Logging_0192/klagomålsmail/A 1212-2023 FSC-klagomål mail.docx", "A 1212-2023")</f>
        <v/>
      </c>
      <c r="X4">
        <f>HYPERLINK("https://klasma.github.io/Logging_0192/tillsyn/A 1212-2023 tillsynsbegäran.docx", "A 1212-2023")</f>
        <v/>
      </c>
      <c r="Y4">
        <f>HYPERLINK("https://klasma.github.io/Logging_0192/tillsynsmail/A 1212-2023 tillsynsbegäran mail.docx", "A 1212-2023")</f>
        <v/>
      </c>
    </row>
    <row r="5" ht="15" customHeight="1">
      <c r="A5" t="inlineStr">
        <is>
          <t>A 60057-2023</t>
        </is>
      </c>
      <c r="B5" s="1" t="n">
        <v>45257</v>
      </c>
      <c r="C5" s="1" t="n">
        <v>45930</v>
      </c>
      <c r="D5" t="inlineStr">
        <is>
          <t>STOCKHOLMS LÄN</t>
        </is>
      </c>
      <c r="E5" t="inlineStr">
        <is>
          <t>NYNÄSHAMN</t>
        </is>
      </c>
      <c r="G5" t="n">
        <v>2.3</v>
      </c>
      <c r="H5" t="n">
        <v>5</v>
      </c>
      <c r="I5" t="n">
        <v>1</v>
      </c>
      <c r="J5" t="n">
        <v>3</v>
      </c>
      <c r="K5" t="n">
        <v>1</v>
      </c>
      <c r="L5" t="n">
        <v>1</v>
      </c>
      <c r="M5" t="n">
        <v>0</v>
      </c>
      <c r="N5" t="n">
        <v>0</v>
      </c>
      <c r="O5" t="n">
        <v>5</v>
      </c>
      <c r="P5" t="n">
        <v>2</v>
      </c>
      <c r="Q5" t="n">
        <v>6</v>
      </c>
      <c r="R5" s="2" t="inlineStr">
        <is>
          <t>Grönfink
Stare
Björktrast
Havsörn
Rödvingetrast
Tibast</t>
        </is>
      </c>
      <c r="S5">
        <f>HYPERLINK("https://klasma.github.io/Logging_0192/artfynd/A 60057-2023 artfynd.xlsx", "A 60057-2023")</f>
        <v/>
      </c>
      <c r="T5">
        <f>HYPERLINK("https://klasma.github.io/Logging_0192/kartor/A 60057-2023 karta.png", "A 60057-2023")</f>
        <v/>
      </c>
      <c r="V5">
        <f>HYPERLINK("https://klasma.github.io/Logging_0192/klagomål/A 60057-2023 FSC-klagomål.docx", "A 60057-2023")</f>
        <v/>
      </c>
      <c r="W5">
        <f>HYPERLINK("https://klasma.github.io/Logging_0192/klagomålsmail/A 60057-2023 FSC-klagomål mail.docx", "A 60057-2023")</f>
        <v/>
      </c>
      <c r="X5">
        <f>HYPERLINK("https://klasma.github.io/Logging_0192/tillsyn/A 60057-2023 tillsynsbegäran.docx", "A 60057-2023")</f>
        <v/>
      </c>
      <c r="Y5">
        <f>HYPERLINK("https://klasma.github.io/Logging_0192/tillsynsmail/A 60057-2023 tillsynsbegäran mail.docx", "A 60057-2023")</f>
        <v/>
      </c>
      <c r="Z5">
        <f>HYPERLINK("https://klasma.github.io/Logging_0192/fåglar/A 60057-2023 prioriterade fågelarter.docx", "A 60057-2023")</f>
        <v/>
      </c>
    </row>
    <row r="6" ht="15" customHeight="1">
      <c r="A6" t="inlineStr">
        <is>
          <t>A 34573-2025</t>
        </is>
      </c>
      <c r="B6" s="1" t="n">
        <v>45846</v>
      </c>
      <c r="C6" s="1" t="n">
        <v>45930</v>
      </c>
      <c r="D6" t="inlineStr">
        <is>
          <t>STOCKHOLMS LÄN</t>
        </is>
      </c>
      <c r="E6" t="inlineStr">
        <is>
          <t>NYNÄSHAMN</t>
        </is>
      </c>
      <c r="F6" t="inlineStr">
        <is>
          <t>Kommuner</t>
        </is>
      </c>
      <c r="G6" t="n">
        <v>7.3</v>
      </c>
      <c r="H6" t="n">
        <v>4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5</v>
      </c>
      <c r="R6" s="2" t="inlineStr">
        <is>
          <t>Noshornsoxe
Skogsknipprot
Huggorm
Vanlig snok
Gullviva</t>
        </is>
      </c>
      <c r="S6">
        <f>HYPERLINK("https://klasma.github.io/Logging_0192/artfynd/A 34573-2025 artfynd.xlsx", "A 34573-2025")</f>
        <v/>
      </c>
      <c r="T6">
        <f>HYPERLINK("https://klasma.github.io/Logging_0192/kartor/A 34573-2025 karta.png", "A 34573-2025")</f>
        <v/>
      </c>
      <c r="V6">
        <f>HYPERLINK("https://klasma.github.io/Logging_0192/klagomål/A 34573-2025 FSC-klagomål.docx", "A 34573-2025")</f>
        <v/>
      </c>
      <c r="W6">
        <f>HYPERLINK("https://klasma.github.io/Logging_0192/klagomålsmail/A 34573-2025 FSC-klagomål mail.docx", "A 34573-2025")</f>
        <v/>
      </c>
      <c r="X6">
        <f>HYPERLINK("https://klasma.github.io/Logging_0192/tillsyn/A 34573-2025 tillsynsbegäran.docx", "A 34573-2025")</f>
        <v/>
      </c>
      <c r="Y6">
        <f>HYPERLINK("https://klasma.github.io/Logging_0192/tillsynsmail/A 34573-2025 tillsynsbegäran mail.docx", "A 34573-2025")</f>
        <v/>
      </c>
    </row>
    <row r="7" ht="15" customHeight="1">
      <c r="A7" t="inlineStr">
        <is>
          <t>A 52261-2022</t>
        </is>
      </c>
      <c r="B7" s="1" t="n">
        <v>44873.62881944444</v>
      </c>
      <c r="C7" s="1" t="n">
        <v>45930</v>
      </c>
      <c r="D7" t="inlineStr">
        <is>
          <t>STOCKHOLMS LÄN</t>
        </is>
      </c>
      <c r="E7" t="inlineStr">
        <is>
          <t>NYNÄSHAMN</t>
        </is>
      </c>
      <c r="G7" t="n">
        <v>3.8</v>
      </c>
      <c r="H7" t="n">
        <v>1</v>
      </c>
      <c r="I7" t="n">
        <v>1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4</v>
      </c>
      <c r="R7" s="2" t="inlineStr">
        <is>
          <t>Tallticka
Vedskivlav
Hasselticka
Blåsippa</t>
        </is>
      </c>
      <c r="S7">
        <f>HYPERLINK("https://klasma.github.io/Logging_0192/artfynd/A 52261-2022 artfynd.xlsx", "A 52261-2022")</f>
        <v/>
      </c>
      <c r="T7">
        <f>HYPERLINK("https://klasma.github.io/Logging_0192/kartor/A 52261-2022 karta.png", "A 52261-2022")</f>
        <v/>
      </c>
      <c r="V7">
        <f>HYPERLINK("https://klasma.github.io/Logging_0192/klagomål/A 52261-2022 FSC-klagomål.docx", "A 52261-2022")</f>
        <v/>
      </c>
      <c r="W7">
        <f>HYPERLINK("https://klasma.github.io/Logging_0192/klagomålsmail/A 52261-2022 FSC-klagomål mail.docx", "A 52261-2022")</f>
        <v/>
      </c>
      <c r="X7">
        <f>HYPERLINK("https://klasma.github.io/Logging_0192/tillsyn/A 52261-2022 tillsynsbegäran.docx", "A 52261-2022")</f>
        <v/>
      </c>
      <c r="Y7">
        <f>HYPERLINK("https://klasma.github.io/Logging_0192/tillsynsmail/A 52261-2022 tillsynsbegäran mail.docx", "A 52261-2022")</f>
        <v/>
      </c>
    </row>
    <row r="8" ht="15" customHeight="1">
      <c r="A8" t="inlineStr">
        <is>
          <t>A 41371-2021</t>
        </is>
      </c>
      <c r="B8" s="1" t="n">
        <v>44424</v>
      </c>
      <c r="C8" s="1" t="n">
        <v>45930</v>
      </c>
      <c r="D8" t="inlineStr">
        <is>
          <t>STOCKHOLMS LÄN</t>
        </is>
      </c>
      <c r="E8" t="inlineStr">
        <is>
          <t>NYNÄSHAMN</t>
        </is>
      </c>
      <c r="G8" t="n">
        <v>7.4</v>
      </c>
      <c r="H8" t="n">
        <v>1</v>
      </c>
      <c r="I8" t="n">
        <v>3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s="2" t="inlineStr">
        <is>
          <t>Grov fjädermossa
Grön sköldmossa
Stor revmossa</t>
        </is>
      </c>
      <c r="S8">
        <f>HYPERLINK("https://klasma.github.io/Logging_0192/artfynd/A 41371-2021 artfynd.xlsx", "A 41371-2021")</f>
        <v/>
      </c>
      <c r="T8">
        <f>HYPERLINK("https://klasma.github.io/Logging_0192/kartor/A 41371-2021 karta.png", "A 41371-2021")</f>
        <v/>
      </c>
      <c r="V8">
        <f>HYPERLINK("https://klasma.github.io/Logging_0192/klagomål/A 41371-2021 FSC-klagomål.docx", "A 41371-2021")</f>
        <v/>
      </c>
      <c r="W8">
        <f>HYPERLINK("https://klasma.github.io/Logging_0192/klagomålsmail/A 41371-2021 FSC-klagomål mail.docx", "A 41371-2021")</f>
        <v/>
      </c>
      <c r="X8">
        <f>HYPERLINK("https://klasma.github.io/Logging_0192/tillsyn/A 41371-2021 tillsynsbegäran.docx", "A 41371-2021")</f>
        <v/>
      </c>
      <c r="Y8">
        <f>HYPERLINK("https://klasma.github.io/Logging_0192/tillsynsmail/A 41371-2021 tillsynsbegäran mail.docx", "A 41371-2021")</f>
        <v/>
      </c>
    </row>
    <row r="9" ht="15" customHeight="1">
      <c r="A9" t="inlineStr">
        <is>
          <t>A 36131-2025</t>
        </is>
      </c>
      <c r="B9" s="1" t="n">
        <v>45866.62395833333</v>
      </c>
      <c r="C9" s="1" t="n">
        <v>45930</v>
      </c>
      <c r="D9" t="inlineStr">
        <is>
          <t>STOCKHOLMS LÄN</t>
        </is>
      </c>
      <c r="E9" t="inlineStr">
        <is>
          <t>NYNÄSHAMN</t>
        </is>
      </c>
      <c r="G9" t="n">
        <v>5.2</v>
      </c>
      <c r="H9" t="n">
        <v>1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3</v>
      </c>
      <c r="R9" s="2" t="inlineStr">
        <is>
          <t>Vedskivlav
Fällmossa
Blåsippa</t>
        </is>
      </c>
      <c r="S9">
        <f>HYPERLINK("https://klasma.github.io/Logging_0192/artfynd/A 36131-2025 artfynd.xlsx", "A 36131-2025")</f>
        <v/>
      </c>
      <c r="T9">
        <f>HYPERLINK("https://klasma.github.io/Logging_0192/kartor/A 36131-2025 karta.png", "A 36131-2025")</f>
        <v/>
      </c>
      <c r="V9">
        <f>HYPERLINK("https://klasma.github.io/Logging_0192/klagomål/A 36131-2025 FSC-klagomål.docx", "A 36131-2025")</f>
        <v/>
      </c>
      <c r="W9">
        <f>HYPERLINK("https://klasma.github.io/Logging_0192/klagomålsmail/A 36131-2025 FSC-klagomål mail.docx", "A 36131-2025")</f>
        <v/>
      </c>
      <c r="X9">
        <f>HYPERLINK("https://klasma.github.io/Logging_0192/tillsyn/A 36131-2025 tillsynsbegäran.docx", "A 36131-2025")</f>
        <v/>
      </c>
      <c r="Y9">
        <f>HYPERLINK("https://klasma.github.io/Logging_0192/tillsynsmail/A 36131-2025 tillsynsbegäran mail.docx", "A 36131-2025")</f>
        <v/>
      </c>
    </row>
    <row r="10" ht="15" customHeight="1">
      <c r="A10" t="inlineStr">
        <is>
          <t>A 22716-2025</t>
        </is>
      </c>
      <c r="B10" s="1" t="n">
        <v>45789.56619212963</v>
      </c>
      <c r="C10" s="1" t="n">
        <v>45930</v>
      </c>
      <c r="D10" t="inlineStr">
        <is>
          <t>STOCKHOLMS LÄN</t>
        </is>
      </c>
      <c r="E10" t="inlineStr">
        <is>
          <t>NYNÄSHAMN</t>
        </is>
      </c>
      <c r="F10" t="inlineStr">
        <is>
          <t>Kommuner</t>
        </is>
      </c>
      <c r="G10" t="n">
        <v>2</v>
      </c>
      <c r="H10" t="n">
        <v>1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3</v>
      </c>
      <c r="R10" s="2" t="inlineStr">
        <is>
          <t>Björksplintborre
Stekelbock
Revlummer</t>
        </is>
      </c>
      <c r="S10">
        <f>HYPERLINK("https://klasma.github.io/Logging_0192/artfynd/A 22716-2025 artfynd.xlsx", "A 22716-2025")</f>
        <v/>
      </c>
      <c r="T10">
        <f>HYPERLINK("https://klasma.github.io/Logging_0192/kartor/A 22716-2025 karta.png", "A 22716-2025")</f>
        <v/>
      </c>
      <c r="V10">
        <f>HYPERLINK("https://klasma.github.io/Logging_0192/klagomål/A 22716-2025 FSC-klagomål.docx", "A 22716-2025")</f>
        <v/>
      </c>
      <c r="W10">
        <f>HYPERLINK("https://klasma.github.io/Logging_0192/klagomålsmail/A 22716-2025 FSC-klagomål mail.docx", "A 22716-2025")</f>
        <v/>
      </c>
      <c r="X10">
        <f>HYPERLINK("https://klasma.github.io/Logging_0192/tillsyn/A 22716-2025 tillsynsbegäran.docx", "A 22716-2025")</f>
        <v/>
      </c>
      <c r="Y10">
        <f>HYPERLINK("https://klasma.github.io/Logging_0192/tillsynsmail/A 22716-2025 tillsynsbegäran mail.docx", "A 22716-2025")</f>
        <v/>
      </c>
    </row>
    <row r="11" ht="15" customHeight="1">
      <c r="A11" t="inlineStr">
        <is>
          <t>A 15314-2021</t>
        </is>
      </c>
      <c r="B11" s="1" t="n">
        <v>44284</v>
      </c>
      <c r="C11" s="1" t="n">
        <v>45930</v>
      </c>
      <c r="D11" t="inlineStr">
        <is>
          <t>STOCKHOLMS LÄN</t>
        </is>
      </c>
      <c r="E11" t="inlineStr">
        <is>
          <t>NYNÄSHAMN</t>
        </is>
      </c>
      <c r="F11" t="inlineStr">
        <is>
          <t>Kommuner</t>
        </is>
      </c>
      <c r="G11" t="n">
        <v>9</v>
      </c>
      <c r="H11" t="n">
        <v>1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Granticka
Grön sköldmossa</t>
        </is>
      </c>
      <c r="S11">
        <f>HYPERLINK("https://klasma.github.io/Logging_0192/artfynd/A 15314-2021 artfynd.xlsx", "A 15314-2021")</f>
        <v/>
      </c>
      <c r="T11">
        <f>HYPERLINK("https://klasma.github.io/Logging_0192/kartor/A 15314-2021 karta.png", "A 15314-2021")</f>
        <v/>
      </c>
      <c r="V11">
        <f>HYPERLINK("https://klasma.github.io/Logging_0192/klagomål/A 15314-2021 FSC-klagomål.docx", "A 15314-2021")</f>
        <v/>
      </c>
      <c r="W11">
        <f>HYPERLINK("https://klasma.github.io/Logging_0192/klagomålsmail/A 15314-2021 FSC-klagomål mail.docx", "A 15314-2021")</f>
        <v/>
      </c>
      <c r="X11">
        <f>HYPERLINK("https://klasma.github.io/Logging_0192/tillsyn/A 15314-2021 tillsynsbegäran.docx", "A 15314-2021")</f>
        <v/>
      </c>
      <c r="Y11">
        <f>HYPERLINK("https://klasma.github.io/Logging_0192/tillsynsmail/A 15314-2021 tillsynsbegäran mail.docx", "A 15314-2021")</f>
        <v/>
      </c>
    </row>
    <row r="12" ht="15" customHeight="1">
      <c r="A12" t="inlineStr">
        <is>
          <t>A 16869-2021</t>
        </is>
      </c>
      <c r="B12" s="1" t="n">
        <v>44295</v>
      </c>
      <c r="C12" s="1" t="n">
        <v>45930</v>
      </c>
      <c r="D12" t="inlineStr">
        <is>
          <t>STOCKHOLMS LÄN</t>
        </is>
      </c>
      <c r="E12" t="inlineStr">
        <is>
          <t>NYNÄSHAMN</t>
        </is>
      </c>
      <c r="F12" t="inlineStr">
        <is>
          <t>Kommuner</t>
        </is>
      </c>
      <c r="G12" t="n">
        <v>6.5</v>
      </c>
      <c r="H12" t="n">
        <v>1</v>
      </c>
      <c r="I12" t="n">
        <v>2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Grön sköldmossa
Kattfotslav</t>
        </is>
      </c>
      <c r="S12">
        <f>HYPERLINK("https://klasma.github.io/Logging_0192/artfynd/A 16869-2021 artfynd.xlsx", "A 16869-2021")</f>
        <v/>
      </c>
      <c r="T12">
        <f>HYPERLINK("https://klasma.github.io/Logging_0192/kartor/A 16869-2021 karta.png", "A 16869-2021")</f>
        <v/>
      </c>
      <c r="V12">
        <f>HYPERLINK("https://klasma.github.io/Logging_0192/klagomål/A 16869-2021 FSC-klagomål.docx", "A 16869-2021")</f>
        <v/>
      </c>
      <c r="W12">
        <f>HYPERLINK("https://klasma.github.io/Logging_0192/klagomålsmail/A 16869-2021 FSC-klagomål mail.docx", "A 16869-2021")</f>
        <v/>
      </c>
      <c r="X12">
        <f>HYPERLINK("https://klasma.github.io/Logging_0192/tillsyn/A 16869-2021 tillsynsbegäran.docx", "A 16869-2021")</f>
        <v/>
      </c>
      <c r="Y12">
        <f>HYPERLINK("https://klasma.github.io/Logging_0192/tillsynsmail/A 16869-2021 tillsynsbegäran mail.docx", "A 16869-2021")</f>
        <v/>
      </c>
    </row>
    <row r="13" ht="15" customHeight="1">
      <c r="A13" t="inlineStr">
        <is>
          <t>A 2294-2021</t>
        </is>
      </c>
      <c r="B13" s="1" t="n">
        <v>44212</v>
      </c>
      <c r="C13" s="1" t="n">
        <v>45930</v>
      </c>
      <c r="D13" t="inlineStr">
        <is>
          <t>STOCKHOLMS LÄN</t>
        </is>
      </c>
      <c r="E13" t="inlineStr">
        <is>
          <t>NYNÄSHAMN</t>
        </is>
      </c>
      <c r="G13" t="n">
        <v>22.1</v>
      </c>
      <c r="H13" t="n">
        <v>0</v>
      </c>
      <c r="I13" t="n">
        <v>0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2</v>
      </c>
      <c r="R13" s="2" t="inlineStr">
        <is>
          <t>Solvända
Ängsskära</t>
        </is>
      </c>
      <c r="S13">
        <f>HYPERLINK("https://klasma.github.io/Logging_0192/artfynd/A 2294-2021 artfynd.xlsx", "A 2294-2021")</f>
        <v/>
      </c>
      <c r="T13">
        <f>HYPERLINK("https://klasma.github.io/Logging_0192/kartor/A 2294-2021 karta.png", "A 2294-2021")</f>
        <v/>
      </c>
      <c r="V13">
        <f>HYPERLINK("https://klasma.github.io/Logging_0192/klagomål/A 2294-2021 FSC-klagomål.docx", "A 2294-2021")</f>
        <v/>
      </c>
      <c r="W13">
        <f>HYPERLINK("https://klasma.github.io/Logging_0192/klagomålsmail/A 2294-2021 FSC-klagomål mail.docx", "A 2294-2021")</f>
        <v/>
      </c>
      <c r="X13">
        <f>HYPERLINK("https://klasma.github.io/Logging_0192/tillsyn/A 2294-2021 tillsynsbegäran.docx", "A 2294-2021")</f>
        <v/>
      </c>
      <c r="Y13">
        <f>HYPERLINK("https://klasma.github.io/Logging_0192/tillsynsmail/A 2294-2021 tillsynsbegäran mail.docx", "A 2294-2021")</f>
        <v/>
      </c>
    </row>
    <row r="14" ht="15" customHeight="1">
      <c r="A14" t="inlineStr">
        <is>
          <t>A 49523-2023</t>
        </is>
      </c>
      <c r="B14" s="1" t="n">
        <v>45211</v>
      </c>
      <c r="C14" s="1" t="n">
        <v>45930</v>
      </c>
      <c r="D14" t="inlineStr">
        <is>
          <t>STOCKHOLMS LÄN</t>
        </is>
      </c>
      <c r="E14" t="inlineStr">
        <is>
          <t>NYNÄSHAMN</t>
        </is>
      </c>
      <c r="G14" t="n">
        <v>2.2</v>
      </c>
      <c r="H14" t="n">
        <v>0</v>
      </c>
      <c r="I14" t="n">
        <v>2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Grönpyrola
Västlig hakmossa</t>
        </is>
      </c>
      <c r="S14">
        <f>HYPERLINK("https://klasma.github.io/Logging_0192/artfynd/A 49523-2023 artfynd.xlsx", "A 49523-2023")</f>
        <v/>
      </c>
      <c r="T14">
        <f>HYPERLINK("https://klasma.github.io/Logging_0192/kartor/A 49523-2023 karta.png", "A 49523-2023")</f>
        <v/>
      </c>
      <c r="V14">
        <f>HYPERLINK("https://klasma.github.io/Logging_0192/klagomål/A 49523-2023 FSC-klagomål.docx", "A 49523-2023")</f>
        <v/>
      </c>
      <c r="W14">
        <f>HYPERLINK("https://klasma.github.io/Logging_0192/klagomålsmail/A 49523-2023 FSC-klagomål mail.docx", "A 49523-2023")</f>
        <v/>
      </c>
      <c r="X14">
        <f>HYPERLINK("https://klasma.github.io/Logging_0192/tillsyn/A 49523-2023 tillsynsbegäran.docx", "A 49523-2023")</f>
        <v/>
      </c>
      <c r="Y14">
        <f>HYPERLINK("https://klasma.github.io/Logging_0192/tillsynsmail/A 49523-2023 tillsynsbegäran mail.docx", "A 49523-2023")</f>
        <v/>
      </c>
    </row>
    <row r="15" ht="15" customHeight="1">
      <c r="A15" t="inlineStr">
        <is>
          <t>A 5567-2023</t>
        </is>
      </c>
      <c r="B15" s="1" t="n">
        <v>44960</v>
      </c>
      <c r="C15" s="1" t="n">
        <v>45930</v>
      </c>
      <c r="D15" t="inlineStr">
        <is>
          <t>STOCKHOLMS LÄN</t>
        </is>
      </c>
      <c r="E15" t="inlineStr">
        <is>
          <t>NYNÄSHAMN</t>
        </is>
      </c>
      <c r="G15" t="n">
        <v>10.1</v>
      </c>
      <c r="H15" t="n">
        <v>1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Sårläka
Blåsippa</t>
        </is>
      </c>
      <c r="S15">
        <f>HYPERLINK("https://klasma.github.io/Logging_0192/artfynd/A 5567-2023 artfynd.xlsx", "A 5567-2023")</f>
        <v/>
      </c>
      <c r="T15">
        <f>HYPERLINK("https://klasma.github.io/Logging_0192/kartor/A 5567-2023 karta.png", "A 5567-2023")</f>
        <v/>
      </c>
      <c r="V15">
        <f>HYPERLINK("https://klasma.github.io/Logging_0192/klagomål/A 5567-2023 FSC-klagomål.docx", "A 5567-2023")</f>
        <v/>
      </c>
      <c r="W15">
        <f>HYPERLINK("https://klasma.github.io/Logging_0192/klagomålsmail/A 5567-2023 FSC-klagomål mail.docx", "A 5567-2023")</f>
        <v/>
      </c>
      <c r="X15">
        <f>HYPERLINK("https://klasma.github.io/Logging_0192/tillsyn/A 5567-2023 tillsynsbegäran.docx", "A 5567-2023")</f>
        <v/>
      </c>
      <c r="Y15">
        <f>HYPERLINK("https://klasma.github.io/Logging_0192/tillsynsmail/A 5567-2023 tillsynsbegäran mail.docx", "A 5567-2023")</f>
        <v/>
      </c>
    </row>
    <row r="16" ht="15" customHeight="1">
      <c r="A16" t="inlineStr">
        <is>
          <t>A 1561-2023</t>
        </is>
      </c>
      <c r="B16" s="1" t="n">
        <v>44937.60278935185</v>
      </c>
      <c r="C16" s="1" t="n">
        <v>45930</v>
      </c>
      <c r="D16" t="inlineStr">
        <is>
          <t>STOCKHOLMS LÄN</t>
        </is>
      </c>
      <c r="E16" t="inlineStr">
        <is>
          <t>NYNÄSHAMN</t>
        </is>
      </c>
      <c r="G16" t="n">
        <v>1.3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Tallticka
Blåsippa</t>
        </is>
      </c>
      <c r="S16">
        <f>HYPERLINK("https://klasma.github.io/Logging_0192/artfynd/A 1561-2023 artfynd.xlsx", "A 1561-2023")</f>
        <v/>
      </c>
      <c r="T16">
        <f>HYPERLINK("https://klasma.github.io/Logging_0192/kartor/A 1561-2023 karta.png", "A 1561-2023")</f>
        <v/>
      </c>
      <c r="V16">
        <f>HYPERLINK("https://klasma.github.io/Logging_0192/klagomål/A 1561-2023 FSC-klagomål.docx", "A 1561-2023")</f>
        <v/>
      </c>
      <c r="W16">
        <f>HYPERLINK("https://klasma.github.io/Logging_0192/klagomålsmail/A 1561-2023 FSC-klagomål mail.docx", "A 1561-2023")</f>
        <v/>
      </c>
      <c r="X16">
        <f>HYPERLINK("https://klasma.github.io/Logging_0192/tillsyn/A 1561-2023 tillsynsbegäran.docx", "A 1561-2023")</f>
        <v/>
      </c>
      <c r="Y16">
        <f>HYPERLINK("https://klasma.github.io/Logging_0192/tillsynsmail/A 1561-2023 tillsynsbegäran mail.docx", "A 1561-2023")</f>
        <v/>
      </c>
    </row>
    <row r="17" ht="15" customHeight="1">
      <c r="A17" t="inlineStr">
        <is>
          <t>A 559-2021</t>
        </is>
      </c>
      <c r="B17" s="1" t="n">
        <v>44203</v>
      </c>
      <c r="C17" s="1" t="n">
        <v>45930</v>
      </c>
      <c r="D17" t="inlineStr">
        <is>
          <t>STOCKHOLMS LÄN</t>
        </is>
      </c>
      <c r="E17" t="inlineStr">
        <is>
          <t>NYNÄSHAMN</t>
        </is>
      </c>
      <c r="G17" t="n">
        <v>19.5</v>
      </c>
      <c r="H17" t="n">
        <v>0</v>
      </c>
      <c r="I17" t="n">
        <v>0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2</v>
      </c>
      <c r="R17" s="2" t="inlineStr">
        <is>
          <t>Garnlav
Ullticka</t>
        </is>
      </c>
      <c r="S17">
        <f>HYPERLINK("https://klasma.github.io/Logging_0192/artfynd/A 559-2021 artfynd.xlsx", "A 559-2021")</f>
        <v/>
      </c>
      <c r="T17">
        <f>HYPERLINK("https://klasma.github.io/Logging_0192/kartor/A 559-2021 karta.png", "A 559-2021")</f>
        <v/>
      </c>
      <c r="V17">
        <f>HYPERLINK("https://klasma.github.io/Logging_0192/klagomål/A 559-2021 FSC-klagomål.docx", "A 559-2021")</f>
        <v/>
      </c>
      <c r="W17">
        <f>HYPERLINK("https://klasma.github.io/Logging_0192/klagomålsmail/A 559-2021 FSC-klagomål mail.docx", "A 559-2021")</f>
        <v/>
      </c>
      <c r="X17">
        <f>HYPERLINK("https://klasma.github.io/Logging_0192/tillsyn/A 559-2021 tillsynsbegäran.docx", "A 559-2021")</f>
        <v/>
      </c>
      <c r="Y17">
        <f>HYPERLINK("https://klasma.github.io/Logging_0192/tillsynsmail/A 559-2021 tillsynsbegäran mail.docx", "A 559-2021")</f>
        <v/>
      </c>
    </row>
    <row r="18" ht="15" customHeight="1">
      <c r="A18" t="inlineStr">
        <is>
          <t>A 64189-2023</t>
        </is>
      </c>
      <c r="B18" s="1" t="n">
        <v>45279</v>
      </c>
      <c r="C18" s="1" t="n">
        <v>45930</v>
      </c>
      <c r="D18" t="inlineStr">
        <is>
          <t>STOCKHOLMS LÄN</t>
        </is>
      </c>
      <c r="E18" t="inlineStr">
        <is>
          <t>NYNÄSHAMN</t>
        </is>
      </c>
      <c r="G18" t="n">
        <v>1.5</v>
      </c>
      <c r="H18" t="n">
        <v>2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Blåsippa
Gullviva</t>
        </is>
      </c>
      <c r="S18">
        <f>HYPERLINK("https://klasma.github.io/Logging_0192/artfynd/A 64189-2023 artfynd.xlsx", "A 64189-2023")</f>
        <v/>
      </c>
      <c r="T18">
        <f>HYPERLINK("https://klasma.github.io/Logging_0192/kartor/A 64189-2023 karta.png", "A 64189-2023")</f>
        <v/>
      </c>
      <c r="V18">
        <f>HYPERLINK("https://klasma.github.io/Logging_0192/klagomål/A 64189-2023 FSC-klagomål.docx", "A 64189-2023")</f>
        <v/>
      </c>
      <c r="W18">
        <f>HYPERLINK("https://klasma.github.io/Logging_0192/klagomålsmail/A 64189-2023 FSC-klagomål mail.docx", "A 64189-2023")</f>
        <v/>
      </c>
      <c r="X18">
        <f>HYPERLINK("https://klasma.github.io/Logging_0192/tillsyn/A 64189-2023 tillsynsbegäran.docx", "A 64189-2023")</f>
        <v/>
      </c>
      <c r="Y18">
        <f>HYPERLINK("https://klasma.github.io/Logging_0192/tillsynsmail/A 64189-2023 tillsynsbegäran mail.docx", "A 64189-2023")</f>
        <v/>
      </c>
    </row>
    <row r="19" ht="15" customHeight="1">
      <c r="A19" t="inlineStr">
        <is>
          <t>A 19784-2025</t>
        </is>
      </c>
      <c r="B19" s="1" t="n">
        <v>45771.43894675926</v>
      </c>
      <c r="C19" s="1" t="n">
        <v>45930</v>
      </c>
      <c r="D19" t="inlineStr">
        <is>
          <t>STOCKHOLMS LÄN</t>
        </is>
      </c>
      <c r="E19" t="inlineStr">
        <is>
          <t>NYNÄSHAMN</t>
        </is>
      </c>
      <c r="G19" t="n">
        <v>12.6</v>
      </c>
      <c r="H19" t="n">
        <v>2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Spillkråka
Revlummer</t>
        </is>
      </c>
      <c r="S19">
        <f>HYPERLINK("https://klasma.github.io/Logging_0192/artfynd/A 19784-2025 artfynd.xlsx", "A 19784-2025")</f>
        <v/>
      </c>
      <c r="T19">
        <f>HYPERLINK("https://klasma.github.io/Logging_0192/kartor/A 19784-2025 karta.png", "A 19784-2025")</f>
        <v/>
      </c>
      <c r="V19">
        <f>HYPERLINK("https://klasma.github.io/Logging_0192/klagomål/A 19784-2025 FSC-klagomål.docx", "A 19784-2025")</f>
        <v/>
      </c>
      <c r="W19">
        <f>HYPERLINK("https://klasma.github.io/Logging_0192/klagomålsmail/A 19784-2025 FSC-klagomål mail.docx", "A 19784-2025")</f>
        <v/>
      </c>
      <c r="X19">
        <f>HYPERLINK("https://klasma.github.io/Logging_0192/tillsyn/A 19784-2025 tillsynsbegäran.docx", "A 19784-2025")</f>
        <v/>
      </c>
      <c r="Y19">
        <f>HYPERLINK("https://klasma.github.io/Logging_0192/tillsynsmail/A 19784-2025 tillsynsbegäran mail.docx", "A 19784-2025")</f>
        <v/>
      </c>
      <c r="Z19">
        <f>HYPERLINK("https://klasma.github.io/Logging_0192/fåglar/A 19784-2025 prioriterade fågelarter.docx", "A 19784-2025")</f>
        <v/>
      </c>
    </row>
    <row r="20" ht="15" customHeight="1">
      <c r="A20" t="inlineStr">
        <is>
          <t>A 31980-2021</t>
        </is>
      </c>
      <c r="B20" s="1" t="n">
        <v>44370</v>
      </c>
      <c r="C20" s="1" t="n">
        <v>45930</v>
      </c>
      <c r="D20" t="inlineStr">
        <is>
          <t>STOCKHOLMS LÄN</t>
        </is>
      </c>
      <c r="E20" t="inlineStr">
        <is>
          <t>NYNÄSHAMN</t>
        </is>
      </c>
      <c r="G20" t="n">
        <v>3.3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Liten ekkremla</t>
        </is>
      </c>
      <c r="S20">
        <f>HYPERLINK("https://klasma.github.io/Logging_0192/artfynd/A 31980-2021 artfynd.xlsx", "A 31980-2021")</f>
        <v/>
      </c>
      <c r="T20">
        <f>HYPERLINK("https://klasma.github.io/Logging_0192/kartor/A 31980-2021 karta.png", "A 31980-2021")</f>
        <v/>
      </c>
      <c r="V20">
        <f>HYPERLINK("https://klasma.github.io/Logging_0192/klagomål/A 31980-2021 FSC-klagomål.docx", "A 31980-2021")</f>
        <v/>
      </c>
      <c r="W20">
        <f>HYPERLINK("https://klasma.github.io/Logging_0192/klagomålsmail/A 31980-2021 FSC-klagomål mail.docx", "A 31980-2021")</f>
        <v/>
      </c>
      <c r="X20">
        <f>HYPERLINK("https://klasma.github.io/Logging_0192/tillsyn/A 31980-2021 tillsynsbegäran.docx", "A 31980-2021")</f>
        <v/>
      </c>
      <c r="Y20">
        <f>HYPERLINK("https://klasma.github.io/Logging_0192/tillsynsmail/A 31980-2021 tillsynsbegäran mail.docx", "A 31980-2021")</f>
        <v/>
      </c>
    </row>
    <row r="21" ht="15" customHeight="1">
      <c r="A21" t="inlineStr">
        <is>
          <t>A 12989-2021</t>
        </is>
      </c>
      <c r="B21" s="1" t="n">
        <v>44271</v>
      </c>
      <c r="C21" s="1" t="n">
        <v>45930</v>
      </c>
      <c r="D21" t="inlineStr">
        <is>
          <t>STOCKHOLMS LÄN</t>
        </is>
      </c>
      <c r="E21" t="inlineStr">
        <is>
          <t>NYNÄSHAMN</t>
        </is>
      </c>
      <c r="F21" t="inlineStr">
        <is>
          <t>Kommuner</t>
        </is>
      </c>
      <c r="G21" t="n">
        <v>6.6</v>
      </c>
      <c r="H21" t="n">
        <v>1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Hasselsnok</t>
        </is>
      </c>
      <c r="S21">
        <f>HYPERLINK("https://klasma.github.io/Logging_0192/artfynd/A 12989-2021 artfynd.xlsx", "A 12989-2021")</f>
        <v/>
      </c>
      <c r="T21">
        <f>HYPERLINK("https://klasma.github.io/Logging_0192/kartor/A 12989-2021 karta.png", "A 12989-2021")</f>
        <v/>
      </c>
      <c r="V21">
        <f>HYPERLINK("https://klasma.github.io/Logging_0192/klagomål/A 12989-2021 FSC-klagomål.docx", "A 12989-2021")</f>
        <v/>
      </c>
      <c r="W21">
        <f>HYPERLINK("https://klasma.github.io/Logging_0192/klagomålsmail/A 12989-2021 FSC-klagomål mail.docx", "A 12989-2021")</f>
        <v/>
      </c>
      <c r="X21">
        <f>HYPERLINK("https://klasma.github.io/Logging_0192/tillsyn/A 12989-2021 tillsynsbegäran.docx", "A 12989-2021")</f>
        <v/>
      </c>
      <c r="Y21">
        <f>HYPERLINK("https://klasma.github.io/Logging_0192/tillsynsmail/A 12989-2021 tillsynsbegäran mail.docx", "A 12989-2021")</f>
        <v/>
      </c>
    </row>
    <row r="22" ht="15" customHeight="1">
      <c r="A22" t="inlineStr">
        <is>
          <t>A 6435-2023</t>
        </is>
      </c>
      <c r="B22" s="1" t="n">
        <v>44965</v>
      </c>
      <c r="C22" s="1" t="n">
        <v>45930</v>
      </c>
      <c r="D22" t="inlineStr">
        <is>
          <t>STOCKHOLMS LÄN</t>
        </is>
      </c>
      <c r="E22" t="inlineStr">
        <is>
          <t>NYNÄSHAMN</t>
        </is>
      </c>
      <c r="G22" t="n">
        <v>1.8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Tallticka</t>
        </is>
      </c>
      <c r="S22">
        <f>HYPERLINK("https://klasma.github.io/Logging_0192/artfynd/A 6435-2023 artfynd.xlsx", "A 6435-2023")</f>
        <v/>
      </c>
      <c r="T22">
        <f>HYPERLINK("https://klasma.github.io/Logging_0192/kartor/A 6435-2023 karta.png", "A 6435-2023")</f>
        <v/>
      </c>
      <c r="V22">
        <f>HYPERLINK("https://klasma.github.io/Logging_0192/klagomål/A 6435-2023 FSC-klagomål.docx", "A 6435-2023")</f>
        <v/>
      </c>
      <c r="W22">
        <f>HYPERLINK("https://klasma.github.io/Logging_0192/klagomålsmail/A 6435-2023 FSC-klagomål mail.docx", "A 6435-2023")</f>
        <v/>
      </c>
      <c r="X22">
        <f>HYPERLINK("https://klasma.github.io/Logging_0192/tillsyn/A 6435-2023 tillsynsbegäran.docx", "A 6435-2023")</f>
        <v/>
      </c>
      <c r="Y22">
        <f>HYPERLINK("https://klasma.github.io/Logging_0192/tillsynsmail/A 6435-2023 tillsynsbegäran mail.docx", "A 6435-2023")</f>
        <v/>
      </c>
    </row>
    <row r="23" ht="15" customHeight="1">
      <c r="A23" t="inlineStr">
        <is>
          <t>A 4688-2023</t>
        </is>
      </c>
      <c r="B23" s="1" t="n">
        <v>44957</v>
      </c>
      <c r="C23" s="1" t="n">
        <v>45930</v>
      </c>
      <c r="D23" t="inlineStr">
        <is>
          <t>STOCKHOLMS LÄN</t>
        </is>
      </c>
      <c r="E23" t="inlineStr">
        <is>
          <t>NYNÄSHAMN</t>
        </is>
      </c>
      <c r="G23" t="n">
        <v>0.9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Lundsångare</t>
        </is>
      </c>
      <c r="S23">
        <f>HYPERLINK("https://klasma.github.io/Logging_0192/artfynd/A 4688-2023 artfynd.xlsx", "A 4688-2023")</f>
        <v/>
      </c>
      <c r="T23">
        <f>HYPERLINK("https://klasma.github.io/Logging_0192/kartor/A 4688-2023 karta.png", "A 4688-2023")</f>
        <v/>
      </c>
      <c r="V23">
        <f>HYPERLINK("https://klasma.github.io/Logging_0192/klagomål/A 4688-2023 FSC-klagomål.docx", "A 4688-2023")</f>
        <v/>
      </c>
      <c r="W23">
        <f>HYPERLINK("https://klasma.github.io/Logging_0192/klagomålsmail/A 4688-2023 FSC-klagomål mail.docx", "A 4688-2023")</f>
        <v/>
      </c>
      <c r="X23">
        <f>HYPERLINK("https://klasma.github.io/Logging_0192/tillsyn/A 4688-2023 tillsynsbegäran.docx", "A 4688-2023")</f>
        <v/>
      </c>
      <c r="Y23">
        <f>HYPERLINK("https://klasma.github.io/Logging_0192/tillsynsmail/A 4688-2023 tillsynsbegäran mail.docx", "A 4688-2023")</f>
        <v/>
      </c>
      <c r="Z23">
        <f>HYPERLINK("https://klasma.github.io/Logging_0192/fåglar/A 4688-2023 prioriterade fågelarter.docx", "A 4688-2023")</f>
        <v/>
      </c>
    </row>
    <row r="24" ht="15" customHeight="1">
      <c r="A24" t="inlineStr">
        <is>
          <t>A 10059-2022</t>
        </is>
      </c>
      <c r="B24" s="1" t="n">
        <v>44621</v>
      </c>
      <c r="C24" s="1" t="n">
        <v>45930</v>
      </c>
      <c r="D24" t="inlineStr">
        <is>
          <t>STOCKHOLMS LÄN</t>
        </is>
      </c>
      <c r="E24" t="inlineStr">
        <is>
          <t>NYNÄSHAMN</t>
        </is>
      </c>
      <c r="G24" t="n">
        <v>17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Bollvitmossa</t>
        </is>
      </c>
      <c r="S24">
        <f>HYPERLINK("https://klasma.github.io/Logging_0192/artfynd/A 10059-2022 artfynd.xlsx", "A 10059-2022")</f>
        <v/>
      </c>
      <c r="T24">
        <f>HYPERLINK("https://klasma.github.io/Logging_0192/kartor/A 10059-2022 karta.png", "A 10059-2022")</f>
        <v/>
      </c>
      <c r="V24">
        <f>HYPERLINK("https://klasma.github.io/Logging_0192/klagomål/A 10059-2022 FSC-klagomål.docx", "A 10059-2022")</f>
        <v/>
      </c>
      <c r="W24">
        <f>HYPERLINK("https://klasma.github.io/Logging_0192/klagomålsmail/A 10059-2022 FSC-klagomål mail.docx", "A 10059-2022")</f>
        <v/>
      </c>
      <c r="X24">
        <f>HYPERLINK("https://klasma.github.io/Logging_0192/tillsyn/A 10059-2022 tillsynsbegäran.docx", "A 10059-2022")</f>
        <v/>
      </c>
      <c r="Y24">
        <f>HYPERLINK("https://klasma.github.io/Logging_0192/tillsynsmail/A 10059-2022 tillsynsbegäran mail.docx", "A 10059-2022")</f>
        <v/>
      </c>
    </row>
    <row r="25" ht="15" customHeight="1">
      <c r="A25" t="inlineStr">
        <is>
          <t>A 37100-2021</t>
        </is>
      </c>
      <c r="B25" s="1" t="n">
        <v>44396</v>
      </c>
      <c r="C25" s="1" t="n">
        <v>45930</v>
      </c>
      <c r="D25" t="inlineStr">
        <is>
          <t>STOCKHOLMS LÄN</t>
        </is>
      </c>
      <c r="E25" t="inlineStr">
        <is>
          <t>NYNÄSHAMN</t>
        </is>
      </c>
      <c r="G25" t="n">
        <v>1.4</v>
      </c>
      <c r="H25" t="n">
        <v>1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Grön sköldmossa</t>
        </is>
      </c>
      <c r="S25">
        <f>HYPERLINK("https://klasma.github.io/Logging_0192/artfynd/A 37100-2021 artfynd.xlsx", "A 37100-2021")</f>
        <v/>
      </c>
      <c r="T25">
        <f>HYPERLINK("https://klasma.github.io/Logging_0192/kartor/A 37100-2021 karta.png", "A 37100-2021")</f>
        <v/>
      </c>
      <c r="V25">
        <f>HYPERLINK("https://klasma.github.io/Logging_0192/klagomål/A 37100-2021 FSC-klagomål.docx", "A 37100-2021")</f>
        <v/>
      </c>
      <c r="W25">
        <f>HYPERLINK("https://klasma.github.io/Logging_0192/klagomålsmail/A 37100-2021 FSC-klagomål mail.docx", "A 37100-2021")</f>
        <v/>
      </c>
      <c r="X25">
        <f>HYPERLINK("https://klasma.github.io/Logging_0192/tillsyn/A 37100-2021 tillsynsbegäran.docx", "A 37100-2021")</f>
        <v/>
      </c>
      <c r="Y25">
        <f>HYPERLINK("https://klasma.github.io/Logging_0192/tillsynsmail/A 37100-2021 tillsynsbegäran mail.docx", "A 37100-2021")</f>
        <v/>
      </c>
    </row>
    <row r="26" ht="15" customHeight="1">
      <c r="A26" t="inlineStr">
        <is>
          <t>A 16309-2022</t>
        </is>
      </c>
      <c r="B26" s="1" t="n">
        <v>44670</v>
      </c>
      <c r="C26" s="1" t="n">
        <v>45930</v>
      </c>
      <c r="D26" t="inlineStr">
        <is>
          <t>STOCKHOLMS LÄN</t>
        </is>
      </c>
      <c r="E26" t="inlineStr">
        <is>
          <t>NYNÄSHAMN</t>
        </is>
      </c>
      <c r="G26" t="n">
        <v>7.7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Blåsippa</t>
        </is>
      </c>
      <c r="S26">
        <f>HYPERLINK("https://klasma.github.io/Logging_0192/artfynd/A 16309-2022 artfynd.xlsx", "A 16309-2022")</f>
        <v/>
      </c>
      <c r="T26">
        <f>HYPERLINK("https://klasma.github.io/Logging_0192/kartor/A 16309-2022 karta.png", "A 16309-2022")</f>
        <v/>
      </c>
      <c r="V26">
        <f>HYPERLINK("https://klasma.github.io/Logging_0192/klagomål/A 16309-2022 FSC-klagomål.docx", "A 16309-2022")</f>
        <v/>
      </c>
      <c r="W26">
        <f>HYPERLINK("https://klasma.github.io/Logging_0192/klagomålsmail/A 16309-2022 FSC-klagomål mail.docx", "A 16309-2022")</f>
        <v/>
      </c>
      <c r="X26">
        <f>HYPERLINK("https://klasma.github.io/Logging_0192/tillsyn/A 16309-2022 tillsynsbegäran.docx", "A 16309-2022")</f>
        <v/>
      </c>
      <c r="Y26">
        <f>HYPERLINK("https://klasma.github.io/Logging_0192/tillsynsmail/A 16309-2022 tillsynsbegäran mail.docx", "A 16309-2022")</f>
        <v/>
      </c>
    </row>
    <row r="27" ht="15" customHeight="1">
      <c r="A27" t="inlineStr">
        <is>
          <t>A 64196-2023</t>
        </is>
      </c>
      <c r="B27" s="1" t="n">
        <v>45279</v>
      </c>
      <c r="C27" s="1" t="n">
        <v>45930</v>
      </c>
      <c r="D27" t="inlineStr">
        <is>
          <t>STOCKHOLMS LÄN</t>
        </is>
      </c>
      <c r="E27" t="inlineStr">
        <is>
          <t>NYNÄSHAMN</t>
        </is>
      </c>
      <c r="G27" t="n">
        <v>2.1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Revlummer</t>
        </is>
      </c>
      <c r="S27">
        <f>HYPERLINK("https://klasma.github.io/Logging_0192/artfynd/A 64196-2023 artfynd.xlsx", "A 64196-2023")</f>
        <v/>
      </c>
      <c r="T27">
        <f>HYPERLINK("https://klasma.github.io/Logging_0192/kartor/A 64196-2023 karta.png", "A 64196-2023")</f>
        <v/>
      </c>
      <c r="V27">
        <f>HYPERLINK("https://klasma.github.io/Logging_0192/klagomål/A 64196-2023 FSC-klagomål.docx", "A 64196-2023")</f>
        <v/>
      </c>
      <c r="W27">
        <f>HYPERLINK("https://klasma.github.io/Logging_0192/klagomålsmail/A 64196-2023 FSC-klagomål mail.docx", "A 64196-2023")</f>
        <v/>
      </c>
      <c r="X27">
        <f>HYPERLINK("https://klasma.github.io/Logging_0192/tillsyn/A 64196-2023 tillsynsbegäran.docx", "A 64196-2023")</f>
        <v/>
      </c>
      <c r="Y27">
        <f>HYPERLINK("https://klasma.github.io/Logging_0192/tillsynsmail/A 64196-2023 tillsynsbegäran mail.docx", "A 64196-2023")</f>
        <v/>
      </c>
    </row>
    <row r="28" ht="15" customHeight="1">
      <c r="A28" t="inlineStr">
        <is>
          <t>A 31842-2023</t>
        </is>
      </c>
      <c r="B28" s="1" t="n">
        <v>45118</v>
      </c>
      <c r="C28" s="1" t="n">
        <v>45930</v>
      </c>
      <c r="D28" t="inlineStr">
        <is>
          <t>STOCKHOLMS LÄN</t>
        </is>
      </c>
      <c r="E28" t="inlineStr">
        <is>
          <t>NYNÄSHAMN</t>
        </is>
      </c>
      <c r="F28" t="inlineStr">
        <is>
          <t>Kommuner</t>
        </is>
      </c>
      <c r="G28" t="n">
        <v>3.8</v>
      </c>
      <c r="H28" t="n">
        <v>1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Grön sköldmossa</t>
        </is>
      </c>
      <c r="S28">
        <f>HYPERLINK("https://klasma.github.io/Logging_0192/artfynd/A 31842-2023 artfynd.xlsx", "A 31842-2023")</f>
        <v/>
      </c>
      <c r="T28">
        <f>HYPERLINK("https://klasma.github.io/Logging_0192/kartor/A 31842-2023 karta.png", "A 31842-2023")</f>
        <v/>
      </c>
      <c r="V28">
        <f>HYPERLINK("https://klasma.github.io/Logging_0192/klagomål/A 31842-2023 FSC-klagomål.docx", "A 31842-2023")</f>
        <v/>
      </c>
      <c r="W28">
        <f>HYPERLINK("https://klasma.github.io/Logging_0192/klagomålsmail/A 31842-2023 FSC-klagomål mail.docx", "A 31842-2023")</f>
        <v/>
      </c>
      <c r="X28">
        <f>HYPERLINK("https://klasma.github.io/Logging_0192/tillsyn/A 31842-2023 tillsynsbegäran.docx", "A 31842-2023")</f>
        <v/>
      </c>
      <c r="Y28">
        <f>HYPERLINK("https://klasma.github.io/Logging_0192/tillsynsmail/A 31842-2023 tillsynsbegäran mail.docx", "A 31842-2023")</f>
        <v/>
      </c>
    </row>
    <row r="29" ht="15" customHeight="1">
      <c r="A29" t="inlineStr">
        <is>
          <t>A 9268-2023</t>
        </is>
      </c>
      <c r="B29" s="1" t="n">
        <v>44980</v>
      </c>
      <c r="C29" s="1" t="n">
        <v>45930</v>
      </c>
      <c r="D29" t="inlineStr">
        <is>
          <t>STOCKHOLMS LÄN</t>
        </is>
      </c>
      <c r="E29" t="inlineStr">
        <is>
          <t>NYNÄSHAMN</t>
        </is>
      </c>
      <c r="G29" t="n">
        <v>4.9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Tallticka</t>
        </is>
      </c>
      <c r="S29">
        <f>HYPERLINK("https://klasma.github.io/Logging_0192/artfynd/A 9268-2023 artfynd.xlsx", "A 9268-2023")</f>
        <v/>
      </c>
      <c r="T29">
        <f>HYPERLINK("https://klasma.github.io/Logging_0192/kartor/A 9268-2023 karta.png", "A 9268-2023")</f>
        <v/>
      </c>
      <c r="V29">
        <f>HYPERLINK("https://klasma.github.io/Logging_0192/klagomål/A 9268-2023 FSC-klagomål.docx", "A 9268-2023")</f>
        <v/>
      </c>
      <c r="W29">
        <f>HYPERLINK("https://klasma.github.io/Logging_0192/klagomålsmail/A 9268-2023 FSC-klagomål mail.docx", "A 9268-2023")</f>
        <v/>
      </c>
      <c r="X29">
        <f>HYPERLINK("https://klasma.github.io/Logging_0192/tillsyn/A 9268-2023 tillsynsbegäran.docx", "A 9268-2023")</f>
        <v/>
      </c>
      <c r="Y29">
        <f>HYPERLINK("https://klasma.github.io/Logging_0192/tillsynsmail/A 9268-2023 tillsynsbegäran mail.docx", "A 9268-2023")</f>
        <v/>
      </c>
    </row>
    <row r="30" ht="15" customHeight="1">
      <c r="A30" t="inlineStr">
        <is>
          <t>A 31142-2023</t>
        </is>
      </c>
      <c r="B30" s="1" t="n">
        <v>45113</v>
      </c>
      <c r="C30" s="1" t="n">
        <v>45930</v>
      </c>
      <c r="D30" t="inlineStr">
        <is>
          <t>STOCKHOLMS LÄN</t>
        </is>
      </c>
      <c r="E30" t="inlineStr">
        <is>
          <t>NYNÄSHAMN</t>
        </is>
      </c>
      <c r="G30" t="n">
        <v>5.7</v>
      </c>
      <c r="H30" t="n">
        <v>0</v>
      </c>
      <c r="I30" t="n">
        <v>0</v>
      </c>
      <c r="J30" t="n">
        <v>0</v>
      </c>
      <c r="K30" t="n">
        <v>0</v>
      </c>
      <c r="L30" t="n">
        <v>1</v>
      </c>
      <c r="M30" t="n">
        <v>0</v>
      </c>
      <c r="N30" t="n">
        <v>0</v>
      </c>
      <c r="O30" t="n">
        <v>1</v>
      </c>
      <c r="P30" t="n">
        <v>1</v>
      </c>
      <c r="Q30" t="n">
        <v>1</v>
      </c>
      <c r="R30" s="2" t="inlineStr">
        <is>
          <t>Ask</t>
        </is>
      </c>
      <c r="S30">
        <f>HYPERLINK("https://klasma.github.io/Logging_0192/artfynd/A 31142-2023 artfynd.xlsx", "A 31142-2023")</f>
        <v/>
      </c>
      <c r="T30">
        <f>HYPERLINK("https://klasma.github.io/Logging_0192/kartor/A 31142-2023 karta.png", "A 31142-2023")</f>
        <v/>
      </c>
      <c r="V30">
        <f>HYPERLINK("https://klasma.github.io/Logging_0192/klagomål/A 31142-2023 FSC-klagomål.docx", "A 31142-2023")</f>
        <v/>
      </c>
      <c r="W30">
        <f>HYPERLINK("https://klasma.github.io/Logging_0192/klagomålsmail/A 31142-2023 FSC-klagomål mail.docx", "A 31142-2023")</f>
        <v/>
      </c>
      <c r="X30">
        <f>HYPERLINK("https://klasma.github.io/Logging_0192/tillsyn/A 31142-2023 tillsynsbegäran.docx", "A 31142-2023")</f>
        <v/>
      </c>
      <c r="Y30">
        <f>HYPERLINK("https://klasma.github.io/Logging_0192/tillsynsmail/A 31142-2023 tillsynsbegäran mail.docx", "A 31142-2023")</f>
        <v/>
      </c>
    </row>
    <row r="31" ht="15" customHeight="1">
      <c r="A31" t="inlineStr">
        <is>
          <t>A 31828-2023</t>
        </is>
      </c>
      <c r="B31" s="1" t="n">
        <v>45118</v>
      </c>
      <c r="C31" s="1" t="n">
        <v>45930</v>
      </c>
      <c r="D31" t="inlineStr">
        <is>
          <t>STOCKHOLMS LÄN</t>
        </is>
      </c>
      <c r="E31" t="inlineStr">
        <is>
          <t>NYNÄSHAMN</t>
        </is>
      </c>
      <c r="F31" t="inlineStr">
        <is>
          <t>Kommuner</t>
        </is>
      </c>
      <c r="G31" t="n">
        <v>2.7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Björksplintborre</t>
        </is>
      </c>
      <c r="S31">
        <f>HYPERLINK("https://klasma.github.io/Logging_0192/artfynd/A 31828-2023 artfynd.xlsx", "A 31828-2023")</f>
        <v/>
      </c>
      <c r="T31">
        <f>HYPERLINK("https://klasma.github.io/Logging_0192/kartor/A 31828-2023 karta.png", "A 31828-2023")</f>
        <v/>
      </c>
      <c r="V31">
        <f>HYPERLINK("https://klasma.github.io/Logging_0192/klagomål/A 31828-2023 FSC-klagomål.docx", "A 31828-2023")</f>
        <v/>
      </c>
      <c r="W31">
        <f>HYPERLINK("https://klasma.github.io/Logging_0192/klagomålsmail/A 31828-2023 FSC-klagomål mail.docx", "A 31828-2023")</f>
        <v/>
      </c>
      <c r="X31">
        <f>HYPERLINK("https://klasma.github.io/Logging_0192/tillsyn/A 31828-2023 tillsynsbegäran.docx", "A 31828-2023")</f>
        <v/>
      </c>
      <c r="Y31">
        <f>HYPERLINK("https://klasma.github.io/Logging_0192/tillsynsmail/A 31828-2023 tillsynsbegäran mail.docx", "A 31828-2023")</f>
        <v/>
      </c>
    </row>
    <row r="32" ht="15" customHeight="1">
      <c r="A32" t="inlineStr">
        <is>
          <t>A 33528-2023</t>
        </is>
      </c>
      <c r="B32" s="1" t="n">
        <v>45131</v>
      </c>
      <c r="C32" s="1" t="n">
        <v>45930</v>
      </c>
      <c r="D32" t="inlineStr">
        <is>
          <t>STOCKHOLMS LÄN</t>
        </is>
      </c>
      <c r="E32" t="inlineStr">
        <is>
          <t>NYNÄSHAMN</t>
        </is>
      </c>
      <c r="G32" t="n">
        <v>4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Strutbräken</t>
        </is>
      </c>
      <c r="S32">
        <f>HYPERLINK("https://klasma.github.io/Logging_0192/artfynd/A 33528-2023 artfynd.xlsx", "A 33528-2023")</f>
        <v/>
      </c>
      <c r="T32">
        <f>HYPERLINK("https://klasma.github.io/Logging_0192/kartor/A 33528-2023 karta.png", "A 33528-2023")</f>
        <v/>
      </c>
      <c r="V32">
        <f>HYPERLINK("https://klasma.github.io/Logging_0192/klagomål/A 33528-2023 FSC-klagomål.docx", "A 33528-2023")</f>
        <v/>
      </c>
      <c r="W32">
        <f>HYPERLINK("https://klasma.github.io/Logging_0192/klagomålsmail/A 33528-2023 FSC-klagomål mail.docx", "A 33528-2023")</f>
        <v/>
      </c>
      <c r="X32">
        <f>HYPERLINK("https://klasma.github.io/Logging_0192/tillsyn/A 33528-2023 tillsynsbegäran.docx", "A 33528-2023")</f>
        <v/>
      </c>
      <c r="Y32">
        <f>HYPERLINK("https://klasma.github.io/Logging_0192/tillsynsmail/A 33528-2023 tillsynsbegäran mail.docx", "A 33528-2023")</f>
        <v/>
      </c>
    </row>
    <row r="33" ht="15" customHeight="1">
      <c r="A33" t="inlineStr">
        <is>
          <t>A 38752-2021</t>
        </is>
      </c>
      <c r="B33" s="1" t="n">
        <v>44410.60496527778</v>
      </c>
      <c r="C33" s="1" t="n">
        <v>45930</v>
      </c>
      <c r="D33" t="inlineStr">
        <is>
          <t>STOCKHOLMS LÄN</t>
        </is>
      </c>
      <c r="E33" t="inlineStr">
        <is>
          <t>NYNÄSHAMN</t>
        </is>
      </c>
      <c r="G33" t="n">
        <v>4.3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56608-2020</t>
        </is>
      </c>
      <c r="B34" s="1" t="n">
        <v>44133</v>
      </c>
      <c r="C34" s="1" t="n">
        <v>45930</v>
      </c>
      <c r="D34" t="inlineStr">
        <is>
          <t>STOCKHOLMS LÄN</t>
        </is>
      </c>
      <c r="E34" t="inlineStr">
        <is>
          <t>NYNÄSHAMN</t>
        </is>
      </c>
      <c r="G34" t="n">
        <v>3.9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37422-2021</t>
        </is>
      </c>
      <c r="B35" s="1" t="n">
        <v>44398</v>
      </c>
      <c r="C35" s="1" t="n">
        <v>45930</v>
      </c>
      <c r="D35" t="inlineStr">
        <is>
          <t>STOCKHOLMS LÄN</t>
        </is>
      </c>
      <c r="E35" t="inlineStr">
        <is>
          <t>NYNÄSHAMN</t>
        </is>
      </c>
      <c r="G35" t="n">
        <v>25.8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26757-2021</t>
        </is>
      </c>
      <c r="B36" s="1" t="n">
        <v>44349</v>
      </c>
      <c r="C36" s="1" t="n">
        <v>45930</v>
      </c>
      <c r="D36" t="inlineStr">
        <is>
          <t>STOCKHOLMS LÄN</t>
        </is>
      </c>
      <c r="E36" t="inlineStr">
        <is>
          <t>NYNÄSHAMN</t>
        </is>
      </c>
      <c r="G36" t="n">
        <v>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40753-2021</t>
        </is>
      </c>
      <c r="B37" s="1" t="n">
        <v>44420</v>
      </c>
      <c r="C37" s="1" t="n">
        <v>45930</v>
      </c>
      <c r="D37" t="inlineStr">
        <is>
          <t>STOCKHOLMS LÄN</t>
        </is>
      </c>
      <c r="E37" t="inlineStr">
        <is>
          <t>NYNÄSHAMN</t>
        </is>
      </c>
      <c r="F37" t="inlineStr">
        <is>
          <t>Kommuner</t>
        </is>
      </c>
      <c r="G37" t="n">
        <v>6.2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26767-2021</t>
        </is>
      </c>
      <c r="B38" s="1" t="n">
        <v>44349</v>
      </c>
      <c r="C38" s="1" t="n">
        <v>45930</v>
      </c>
      <c r="D38" t="inlineStr">
        <is>
          <t>STOCKHOLMS LÄN</t>
        </is>
      </c>
      <c r="E38" t="inlineStr">
        <is>
          <t>NYNÄSHAMN</t>
        </is>
      </c>
      <c r="G38" t="n">
        <v>2.3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9964-2022</t>
        </is>
      </c>
      <c r="B39" s="1" t="n">
        <v>44621</v>
      </c>
      <c r="C39" s="1" t="n">
        <v>45930</v>
      </c>
      <c r="D39" t="inlineStr">
        <is>
          <t>STOCKHOLMS LÄN</t>
        </is>
      </c>
      <c r="E39" t="inlineStr">
        <is>
          <t>NYNÄSHAMN</t>
        </is>
      </c>
      <c r="G39" t="n">
        <v>4.3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15560-2021</t>
        </is>
      </c>
      <c r="B40" s="1" t="n">
        <v>44285</v>
      </c>
      <c r="C40" s="1" t="n">
        <v>45930</v>
      </c>
      <c r="D40" t="inlineStr">
        <is>
          <t>STOCKHOLMS LÄN</t>
        </is>
      </c>
      <c r="E40" t="inlineStr">
        <is>
          <t>NYNÄSHAMN</t>
        </is>
      </c>
      <c r="F40" t="inlineStr">
        <is>
          <t>Kommuner</t>
        </is>
      </c>
      <c r="G40" t="n">
        <v>1.5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23339-2021</t>
        </is>
      </c>
      <c r="B41" s="1" t="n">
        <v>44333</v>
      </c>
      <c r="C41" s="1" t="n">
        <v>45930</v>
      </c>
      <c r="D41" t="inlineStr">
        <is>
          <t>STOCKHOLMS LÄN</t>
        </is>
      </c>
      <c r="E41" t="inlineStr">
        <is>
          <t>NYNÄSHAMN</t>
        </is>
      </c>
      <c r="G41" t="n">
        <v>0.4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40158-2021</t>
        </is>
      </c>
      <c r="B42" s="1" t="n">
        <v>44418</v>
      </c>
      <c r="C42" s="1" t="n">
        <v>45930</v>
      </c>
      <c r="D42" t="inlineStr">
        <is>
          <t>STOCKHOLMS LÄN</t>
        </is>
      </c>
      <c r="E42" t="inlineStr">
        <is>
          <t>NYNÄSHAMN</t>
        </is>
      </c>
      <c r="F42" t="inlineStr">
        <is>
          <t>Kommuner</t>
        </is>
      </c>
      <c r="G42" t="n">
        <v>1.3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2867-2021</t>
        </is>
      </c>
      <c r="B43" s="1" t="n">
        <v>44216</v>
      </c>
      <c r="C43" s="1" t="n">
        <v>45930</v>
      </c>
      <c r="D43" t="inlineStr">
        <is>
          <t>STOCKHOLMS LÄN</t>
        </is>
      </c>
      <c r="E43" t="inlineStr">
        <is>
          <t>NYNÄSHAMN</t>
        </is>
      </c>
      <c r="G43" t="n">
        <v>5.1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15609-2021</t>
        </is>
      </c>
      <c r="B44" s="1" t="n">
        <v>44285</v>
      </c>
      <c r="C44" s="1" t="n">
        <v>45930</v>
      </c>
      <c r="D44" t="inlineStr">
        <is>
          <t>STOCKHOLMS LÄN</t>
        </is>
      </c>
      <c r="E44" t="inlineStr">
        <is>
          <t>NYNÄSHAMN</t>
        </is>
      </c>
      <c r="F44" t="inlineStr">
        <is>
          <t>Kommuner</t>
        </is>
      </c>
      <c r="G44" t="n">
        <v>9.6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2858-2021</t>
        </is>
      </c>
      <c r="B45" s="1" t="n">
        <v>44216</v>
      </c>
      <c r="C45" s="1" t="n">
        <v>45930</v>
      </c>
      <c r="D45" t="inlineStr">
        <is>
          <t>STOCKHOLMS LÄN</t>
        </is>
      </c>
      <c r="E45" t="inlineStr">
        <is>
          <t>NYNÄSHAMN</t>
        </is>
      </c>
      <c r="G45" t="n">
        <v>2.5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17835-2021</t>
        </is>
      </c>
      <c r="B46" s="1" t="n">
        <v>44300</v>
      </c>
      <c r="C46" s="1" t="n">
        <v>45930</v>
      </c>
      <c r="D46" t="inlineStr">
        <is>
          <t>STOCKHOLMS LÄN</t>
        </is>
      </c>
      <c r="E46" t="inlineStr">
        <is>
          <t>NYNÄSHAMN</t>
        </is>
      </c>
      <c r="G46" t="n">
        <v>0.7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25334-2021</t>
        </is>
      </c>
      <c r="B47" s="1" t="n">
        <v>44342</v>
      </c>
      <c r="C47" s="1" t="n">
        <v>45930</v>
      </c>
      <c r="D47" t="inlineStr">
        <is>
          <t>STOCKHOLMS LÄN</t>
        </is>
      </c>
      <c r="E47" t="inlineStr">
        <is>
          <t>NYNÄSHAMN</t>
        </is>
      </c>
      <c r="F47" t="inlineStr">
        <is>
          <t>Kommuner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24805-2021</t>
        </is>
      </c>
      <c r="B48" s="1" t="n">
        <v>44340.66033564815</v>
      </c>
      <c r="C48" s="1" t="n">
        <v>45930</v>
      </c>
      <c r="D48" t="inlineStr">
        <is>
          <t>STOCKHOLMS LÄN</t>
        </is>
      </c>
      <c r="E48" t="inlineStr">
        <is>
          <t>NYNÄSHAMN</t>
        </is>
      </c>
      <c r="F48" t="inlineStr">
        <is>
          <t>Kommuner</t>
        </is>
      </c>
      <c r="G48" t="n">
        <v>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52806-2020</t>
        </is>
      </c>
      <c r="B49" s="1" t="n">
        <v>44119</v>
      </c>
      <c r="C49" s="1" t="n">
        <v>45930</v>
      </c>
      <c r="D49" t="inlineStr">
        <is>
          <t>STOCKHOLMS LÄN</t>
        </is>
      </c>
      <c r="E49" t="inlineStr">
        <is>
          <t>NYNÄSHAMN</t>
        </is>
      </c>
      <c r="G49" t="n">
        <v>5.9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40183-2021</t>
        </is>
      </c>
      <c r="B50" s="1" t="n">
        <v>44418</v>
      </c>
      <c r="C50" s="1" t="n">
        <v>45930</v>
      </c>
      <c r="D50" t="inlineStr">
        <is>
          <t>STOCKHOLMS LÄN</t>
        </is>
      </c>
      <c r="E50" t="inlineStr">
        <is>
          <t>NYNÄSHAMN</t>
        </is>
      </c>
      <c r="F50" t="inlineStr">
        <is>
          <t>Kommuner</t>
        </is>
      </c>
      <c r="G50" t="n">
        <v>4.5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7683-2021</t>
        </is>
      </c>
      <c r="B51" s="1" t="n">
        <v>44242</v>
      </c>
      <c r="C51" s="1" t="n">
        <v>45930</v>
      </c>
      <c r="D51" t="inlineStr">
        <is>
          <t>STOCKHOLMS LÄN</t>
        </is>
      </c>
      <c r="E51" t="inlineStr">
        <is>
          <t>NYNÄSHAMN</t>
        </is>
      </c>
      <c r="F51" t="inlineStr">
        <is>
          <t>Kommuner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73963-2021</t>
        </is>
      </c>
      <c r="B52" s="1" t="n">
        <v>44553.79121527778</v>
      </c>
      <c r="C52" s="1" t="n">
        <v>45930</v>
      </c>
      <c r="D52" t="inlineStr">
        <is>
          <t>STOCKHOLMS LÄN</t>
        </is>
      </c>
      <c r="E52" t="inlineStr">
        <is>
          <t>NYNÄSHAMN</t>
        </is>
      </c>
      <c r="G52" t="n">
        <v>0.3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73966-2021</t>
        </is>
      </c>
      <c r="B53" s="1" t="n">
        <v>44553.81094907408</v>
      </c>
      <c r="C53" s="1" t="n">
        <v>45930</v>
      </c>
      <c r="D53" t="inlineStr">
        <is>
          <t>STOCKHOLMS LÄN</t>
        </is>
      </c>
      <c r="E53" t="inlineStr">
        <is>
          <t>NYNÄSHAMN</t>
        </is>
      </c>
      <c r="G53" t="n">
        <v>4.3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73967-2021</t>
        </is>
      </c>
      <c r="B54" s="1" t="n">
        <v>44553.81719907407</v>
      </c>
      <c r="C54" s="1" t="n">
        <v>45930</v>
      </c>
      <c r="D54" t="inlineStr">
        <is>
          <t>STOCKHOLMS LÄN</t>
        </is>
      </c>
      <c r="E54" t="inlineStr">
        <is>
          <t>NYNÄSHAMN</t>
        </is>
      </c>
      <c r="G54" t="n">
        <v>1.3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10525-2021</t>
        </is>
      </c>
      <c r="B55" s="1" t="n">
        <v>44258</v>
      </c>
      <c r="C55" s="1" t="n">
        <v>45930</v>
      </c>
      <c r="D55" t="inlineStr">
        <is>
          <t>STOCKHOLMS LÄN</t>
        </is>
      </c>
      <c r="E55" t="inlineStr">
        <is>
          <t>NYNÄSHAMN</t>
        </is>
      </c>
      <c r="G55" t="n">
        <v>1.1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49657-2021</t>
        </is>
      </c>
      <c r="B56" s="1" t="n">
        <v>44455.45670138889</v>
      </c>
      <c r="C56" s="1" t="n">
        <v>45930</v>
      </c>
      <c r="D56" t="inlineStr">
        <is>
          <t>STOCKHOLMS LÄN</t>
        </is>
      </c>
      <c r="E56" t="inlineStr">
        <is>
          <t>NYNÄSHAMN</t>
        </is>
      </c>
      <c r="G56" t="n">
        <v>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7457-2025</t>
        </is>
      </c>
      <c r="B57" s="1" t="n">
        <v>45705.43699074074</v>
      </c>
      <c r="C57" s="1" t="n">
        <v>45930</v>
      </c>
      <c r="D57" t="inlineStr">
        <is>
          <t>STOCKHOLMS LÄN</t>
        </is>
      </c>
      <c r="E57" t="inlineStr">
        <is>
          <t>NYNÄSHAMN</t>
        </is>
      </c>
      <c r="G57" t="n">
        <v>7.5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2751-2021</t>
        </is>
      </c>
      <c r="B58" s="1" t="n">
        <v>44215</v>
      </c>
      <c r="C58" s="1" t="n">
        <v>45930</v>
      </c>
      <c r="D58" t="inlineStr">
        <is>
          <t>STOCKHOLMS LÄN</t>
        </is>
      </c>
      <c r="E58" t="inlineStr">
        <is>
          <t>NYNÄSHAMN</t>
        </is>
      </c>
      <c r="G58" t="n">
        <v>1.9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70850-2021</t>
        </is>
      </c>
      <c r="B59" s="1" t="n">
        <v>44538</v>
      </c>
      <c r="C59" s="1" t="n">
        <v>45930</v>
      </c>
      <c r="D59" t="inlineStr">
        <is>
          <t>STOCKHOLMS LÄN</t>
        </is>
      </c>
      <c r="E59" t="inlineStr">
        <is>
          <t>NYNÄSHAMN</t>
        </is>
      </c>
      <c r="G59" t="n">
        <v>1.2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37491-2022</t>
        </is>
      </c>
      <c r="B60" s="1" t="n">
        <v>44809</v>
      </c>
      <c r="C60" s="1" t="n">
        <v>45930</v>
      </c>
      <c r="D60" t="inlineStr">
        <is>
          <t>STOCKHOLMS LÄN</t>
        </is>
      </c>
      <c r="E60" t="inlineStr">
        <is>
          <t>NYNÄSHAMN</t>
        </is>
      </c>
      <c r="G60" t="n">
        <v>4.3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48309-2022</t>
        </is>
      </c>
      <c r="B61" s="1" t="n">
        <v>44854</v>
      </c>
      <c r="C61" s="1" t="n">
        <v>45930</v>
      </c>
      <c r="D61" t="inlineStr">
        <is>
          <t>STOCKHOLMS LÄN</t>
        </is>
      </c>
      <c r="E61" t="inlineStr">
        <is>
          <t>NYNÄSHAMN</t>
        </is>
      </c>
      <c r="F61" t="inlineStr">
        <is>
          <t>Övriga statliga verk och myndigheter</t>
        </is>
      </c>
      <c r="G61" t="n">
        <v>7.4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41378-2021</t>
        </is>
      </c>
      <c r="B62" s="1" t="n">
        <v>44424</v>
      </c>
      <c r="C62" s="1" t="n">
        <v>45930</v>
      </c>
      <c r="D62" t="inlineStr">
        <is>
          <t>STOCKHOLMS LÄN</t>
        </is>
      </c>
      <c r="E62" t="inlineStr">
        <is>
          <t>NYNÄSHAMN</t>
        </is>
      </c>
      <c r="G62" t="n">
        <v>1.1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40143-2021</t>
        </is>
      </c>
      <c r="B63" s="1" t="n">
        <v>44418</v>
      </c>
      <c r="C63" s="1" t="n">
        <v>45930</v>
      </c>
      <c r="D63" t="inlineStr">
        <is>
          <t>STOCKHOLMS LÄN</t>
        </is>
      </c>
      <c r="E63" t="inlineStr">
        <is>
          <t>NYNÄSHAMN</t>
        </is>
      </c>
      <c r="F63" t="inlineStr">
        <is>
          <t>Kommuner</t>
        </is>
      </c>
      <c r="G63" t="n">
        <v>1.8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17991-2024</t>
        </is>
      </c>
      <c r="B64" s="1" t="n">
        <v>45419</v>
      </c>
      <c r="C64" s="1" t="n">
        <v>45930</v>
      </c>
      <c r="D64" t="inlineStr">
        <is>
          <t>STOCKHOLMS LÄN</t>
        </is>
      </c>
      <c r="E64" t="inlineStr">
        <is>
          <t>NYNÄSHAMN</t>
        </is>
      </c>
      <c r="G64" t="n">
        <v>0.3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26750-2021</t>
        </is>
      </c>
      <c r="B65" s="1" t="n">
        <v>44349</v>
      </c>
      <c r="C65" s="1" t="n">
        <v>45930</v>
      </c>
      <c r="D65" t="inlineStr">
        <is>
          <t>STOCKHOLMS LÄN</t>
        </is>
      </c>
      <c r="E65" t="inlineStr">
        <is>
          <t>NYNÄSHAMN</t>
        </is>
      </c>
      <c r="G65" t="n">
        <v>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37097-2021</t>
        </is>
      </c>
      <c r="B66" s="1" t="n">
        <v>44395</v>
      </c>
      <c r="C66" s="1" t="n">
        <v>45930</v>
      </c>
      <c r="D66" t="inlineStr">
        <is>
          <t>STOCKHOLMS LÄN</t>
        </is>
      </c>
      <c r="E66" t="inlineStr">
        <is>
          <t>NYNÄSHAMN</t>
        </is>
      </c>
      <c r="G66" t="n">
        <v>1.5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35483-2025</t>
        </is>
      </c>
      <c r="B67" s="1" t="n">
        <v>45855</v>
      </c>
      <c r="C67" s="1" t="n">
        <v>45930</v>
      </c>
      <c r="D67" t="inlineStr">
        <is>
          <t>STOCKHOLMS LÄN</t>
        </is>
      </c>
      <c r="E67" t="inlineStr">
        <is>
          <t>NYNÄSHAMN</t>
        </is>
      </c>
      <c r="G67" t="n">
        <v>7.5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26501-2024</t>
        </is>
      </c>
      <c r="B68" s="1" t="n">
        <v>45469</v>
      </c>
      <c r="C68" s="1" t="n">
        <v>45930</v>
      </c>
      <c r="D68" t="inlineStr">
        <is>
          <t>STOCKHOLMS LÄN</t>
        </is>
      </c>
      <c r="E68" t="inlineStr">
        <is>
          <t>NYNÄSHAMN</t>
        </is>
      </c>
      <c r="G68" t="n">
        <v>1.5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15176-2024</t>
        </is>
      </c>
      <c r="B69" s="1" t="n">
        <v>45400</v>
      </c>
      <c r="C69" s="1" t="n">
        <v>45930</v>
      </c>
      <c r="D69" t="inlineStr">
        <is>
          <t>STOCKHOLMS LÄN</t>
        </is>
      </c>
      <c r="E69" t="inlineStr">
        <is>
          <t>NYNÄSHAMN</t>
        </is>
      </c>
      <c r="G69" t="n">
        <v>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8932-2023</t>
        </is>
      </c>
      <c r="B70" s="1" t="n">
        <v>44979</v>
      </c>
      <c r="C70" s="1" t="n">
        <v>45930</v>
      </c>
      <c r="D70" t="inlineStr">
        <is>
          <t>STOCKHOLMS LÄN</t>
        </is>
      </c>
      <c r="E70" t="inlineStr">
        <is>
          <t>NYNÄSHAMN</t>
        </is>
      </c>
      <c r="G70" t="n">
        <v>2.3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38771-2021</t>
        </is>
      </c>
      <c r="B71" s="1" t="n">
        <v>44410</v>
      </c>
      <c r="C71" s="1" t="n">
        <v>45930</v>
      </c>
      <c r="D71" t="inlineStr">
        <is>
          <t>STOCKHOLMS LÄN</t>
        </is>
      </c>
      <c r="E71" t="inlineStr">
        <is>
          <t>NYNÄSHAMN</t>
        </is>
      </c>
      <c r="G71" t="n">
        <v>0.4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36082-2025</t>
        </is>
      </c>
      <c r="B72" s="1" t="n">
        <v>45866.45336805555</v>
      </c>
      <c r="C72" s="1" t="n">
        <v>45930</v>
      </c>
      <c r="D72" t="inlineStr">
        <is>
          <t>STOCKHOLMS LÄN</t>
        </is>
      </c>
      <c r="E72" t="inlineStr">
        <is>
          <t>NYNÄSHAMN</t>
        </is>
      </c>
      <c r="G72" t="n">
        <v>4.2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47258-2024</t>
        </is>
      </c>
      <c r="B73" s="1" t="n">
        <v>45586.76025462963</v>
      </c>
      <c r="C73" s="1" t="n">
        <v>45930</v>
      </c>
      <c r="D73" t="inlineStr">
        <is>
          <t>STOCKHOLMS LÄN</t>
        </is>
      </c>
      <c r="E73" t="inlineStr">
        <is>
          <t>NYNÄSHAMN</t>
        </is>
      </c>
      <c r="F73" t="inlineStr">
        <is>
          <t>Kyrkan</t>
        </is>
      </c>
      <c r="G73" t="n">
        <v>1.9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17634-2022</t>
        </is>
      </c>
      <c r="B74" s="1" t="n">
        <v>44680</v>
      </c>
      <c r="C74" s="1" t="n">
        <v>45930</v>
      </c>
      <c r="D74" t="inlineStr">
        <is>
          <t>STOCKHOLMS LÄN</t>
        </is>
      </c>
      <c r="E74" t="inlineStr">
        <is>
          <t>NYNÄSHAMN</t>
        </is>
      </c>
      <c r="G74" t="n">
        <v>2.6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36468-2025</t>
        </is>
      </c>
      <c r="B75" s="1" t="n">
        <v>45869.47163194444</v>
      </c>
      <c r="C75" s="1" t="n">
        <v>45930</v>
      </c>
      <c r="D75" t="inlineStr">
        <is>
          <t>STOCKHOLMS LÄN</t>
        </is>
      </c>
      <c r="E75" t="inlineStr">
        <is>
          <t>NYNÄSHAMN</t>
        </is>
      </c>
      <c r="G75" t="n">
        <v>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44619-2023</t>
        </is>
      </c>
      <c r="B76" s="1" t="n">
        <v>45189</v>
      </c>
      <c r="C76" s="1" t="n">
        <v>45930</v>
      </c>
      <c r="D76" t="inlineStr">
        <is>
          <t>STOCKHOLMS LÄN</t>
        </is>
      </c>
      <c r="E76" t="inlineStr">
        <is>
          <t>NYNÄSHAMN</t>
        </is>
      </c>
      <c r="G76" t="n">
        <v>7.6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64411-2023</t>
        </is>
      </c>
      <c r="B77" s="1" t="n">
        <v>45280.63304398148</v>
      </c>
      <c r="C77" s="1" t="n">
        <v>45930</v>
      </c>
      <c r="D77" t="inlineStr">
        <is>
          <t>STOCKHOLMS LÄN</t>
        </is>
      </c>
      <c r="E77" t="inlineStr">
        <is>
          <t>NYNÄSHAMN</t>
        </is>
      </c>
      <c r="G77" t="n">
        <v>5.6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36509-2025</t>
        </is>
      </c>
      <c r="B78" s="1" t="n">
        <v>45869.57434027778</v>
      </c>
      <c r="C78" s="1" t="n">
        <v>45930</v>
      </c>
      <c r="D78" t="inlineStr">
        <is>
          <t>STOCKHOLMS LÄN</t>
        </is>
      </c>
      <c r="E78" t="inlineStr">
        <is>
          <t>NYNÄSHAMN</t>
        </is>
      </c>
      <c r="G78" t="n">
        <v>2.1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9020-2023</t>
        </is>
      </c>
      <c r="B79" s="1" t="n">
        <v>44979</v>
      </c>
      <c r="C79" s="1" t="n">
        <v>45930</v>
      </c>
      <c r="D79" t="inlineStr">
        <is>
          <t>STOCKHOLMS LÄN</t>
        </is>
      </c>
      <c r="E79" t="inlineStr">
        <is>
          <t>NYNÄSHAMN</t>
        </is>
      </c>
      <c r="F79" t="inlineStr">
        <is>
          <t>Kommuner</t>
        </is>
      </c>
      <c r="G79" t="n">
        <v>8.1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36496-2025</t>
        </is>
      </c>
      <c r="B80" s="1" t="n">
        <v>45869.55287037037</v>
      </c>
      <c r="C80" s="1" t="n">
        <v>45930</v>
      </c>
      <c r="D80" t="inlineStr">
        <is>
          <t>STOCKHOLMS LÄN</t>
        </is>
      </c>
      <c r="E80" t="inlineStr">
        <is>
          <t>NYNÄSHAMN</t>
        </is>
      </c>
      <c r="G80" t="n">
        <v>5.3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6775-2022</t>
        </is>
      </c>
      <c r="B81" s="1" t="n">
        <v>44602.52413194445</v>
      </c>
      <c r="C81" s="1" t="n">
        <v>45930</v>
      </c>
      <c r="D81" t="inlineStr">
        <is>
          <t>STOCKHOLMS LÄN</t>
        </is>
      </c>
      <c r="E81" t="inlineStr">
        <is>
          <t>NYNÄSHAMN</t>
        </is>
      </c>
      <c r="G81" t="n">
        <v>4.7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44205-2024</t>
        </is>
      </c>
      <c r="B82" s="1" t="n">
        <v>45573</v>
      </c>
      <c r="C82" s="1" t="n">
        <v>45930</v>
      </c>
      <c r="D82" t="inlineStr">
        <is>
          <t>STOCKHOLMS LÄN</t>
        </is>
      </c>
      <c r="E82" t="inlineStr">
        <is>
          <t>NYNÄSHAMN</t>
        </is>
      </c>
      <c r="G82" t="n">
        <v>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44206-2024</t>
        </is>
      </c>
      <c r="B83" s="1" t="n">
        <v>45573</v>
      </c>
      <c r="C83" s="1" t="n">
        <v>45930</v>
      </c>
      <c r="D83" t="inlineStr">
        <is>
          <t>STOCKHOLMS LÄN</t>
        </is>
      </c>
      <c r="E83" t="inlineStr">
        <is>
          <t>NYNÄSHAMN</t>
        </is>
      </c>
      <c r="G83" t="n">
        <v>0.8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25175-2023</t>
        </is>
      </c>
      <c r="B84" s="1" t="n">
        <v>45086</v>
      </c>
      <c r="C84" s="1" t="n">
        <v>45930</v>
      </c>
      <c r="D84" t="inlineStr">
        <is>
          <t>STOCKHOLMS LÄN</t>
        </is>
      </c>
      <c r="E84" t="inlineStr">
        <is>
          <t>NYNÄSHAMN</t>
        </is>
      </c>
      <c r="G84" t="n">
        <v>1.4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34385-2023</t>
        </is>
      </c>
      <c r="B85" s="1" t="n">
        <v>45139</v>
      </c>
      <c r="C85" s="1" t="n">
        <v>45930</v>
      </c>
      <c r="D85" t="inlineStr">
        <is>
          <t>STOCKHOLMS LÄN</t>
        </is>
      </c>
      <c r="E85" t="inlineStr">
        <is>
          <t>NYNÄSHAMN</t>
        </is>
      </c>
      <c r="G85" t="n">
        <v>0.5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13947-2025</t>
        </is>
      </c>
      <c r="B86" s="1" t="n">
        <v>45737</v>
      </c>
      <c r="C86" s="1" t="n">
        <v>45930</v>
      </c>
      <c r="D86" t="inlineStr">
        <is>
          <t>STOCKHOLMS LÄN</t>
        </is>
      </c>
      <c r="E86" t="inlineStr">
        <is>
          <t>NYNÄSHAMN</t>
        </is>
      </c>
      <c r="G86" t="n">
        <v>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52859-2024</t>
        </is>
      </c>
      <c r="B87" s="1" t="n">
        <v>45610.61542824074</v>
      </c>
      <c r="C87" s="1" t="n">
        <v>45930</v>
      </c>
      <c r="D87" t="inlineStr">
        <is>
          <t>STOCKHOLMS LÄN</t>
        </is>
      </c>
      <c r="E87" t="inlineStr">
        <is>
          <t>NYNÄSHAMN</t>
        </is>
      </c>
      <c r="G87" t="n">
        <v>1.3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63931-2021</t>
        </is>
      </c>
      <c r="B88" s="1" t="n">
        <v>44509</v>
      </c>
      <c r="C88" s="1" t="n">
        <v>45930</v>
      </c>
      <c r="D88" t="inlineStr">
        <is>
          <t>STOCKHOLMS LÄN</t>
        </is>
      </c>
      <c r="E88" t="inlineStr">
        <is>
          <t>NYNÄSHAMN</t>
        </is>
      </c>
      <c r="F88" t="inlineStr">
        <is>
          <t>Kommuner</t>
        </is>
      </c>
      <c r="G88" t="n">
        <v>1.5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52910-2024</t>
        </is>
      </c>
      <c r="B89" s="1" t="n">
        <v>45610.69866898148</v>
      </c>
      <c r="C89" s="1" t="n">
        <v>45930</v>
      </c>
      <c r="D89" t="inlineStr">
        <is>
          <t>STOCKHOLMS LÄN</t>
        </is>
      </c>
      <c r="E89" t="inlineStr">
        <is>
          <t>NYNÄSHAMN</t>
        </is>
      </c>
      <c r="G89" t="n">
        <v>1.3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62634-2022</t>
        </is>
      </c>
      <c r="B90" s="1" t="n">
        <v>44917</v>
      </c>
      <c r="C90" s="1" t="n">
        <v>45930</v>
      </c>
      <c r="D90" t="inlineStr">
        <is>
          <t>STOCKHOLMS LÄN</t>
        </is>
      </c>
      <c r="E90" t="inlineStr">
        <is>
          <t>NYNÄSHAMN</t>
        </is>
      </c>
      <c r="G90" t="n">
        <v>15.8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24288-2024</t>
        </is>
      </c>
      <c r="B91" s="1" t="n">
        <v>45457.4562037037</v>
      </c>
      <c r="C91" s="1" t="n">
        <v>45930</v>
      </c>
      <c r="D91" t="inlineStr">
        <is>
          <t>STOCKHOLMS LÄN</t>
        </is>
      </c>
      <c r="E91" t="inlineStr">
        <is>
          <t>NYNÄSHAMN</t>
        </is>
      </c>
      <c r="G91" t="n">
        <v>1.3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44624-2023</t>
        </is>
      </c>
      <c r="B92" s="1" t="n">
        <v>45184</v>
      </c>
      <c r="C92" s="1" t="n">
        <v>45930</v>
      </c>
      <c r="D92" t="inlineStr">
        <is>
          <t>STOCKHOLMS LÄN</t>
        </is>
      </c>
      <c r="E92" t="inlineStr">
        <is>
          <t>NYNÄSHAMN</t>
        </is>
      </c>
      <c r="G92" t="n">
        <v>6.8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8939-2023</t>
        </is>
      </c>
      <c r="B93" s="1" t="n">
        <v>44979</v>
      </c>
      <c r="C93" s="1" t="n">
        <v>45930</v>
      </c>
      <c r="D93" t="inlineStr">
        <is>
          <t>STOCKHOLMS LÄN</t>
        </is>
      </c>
      <c r="E93" t="inlineStr">
        <is>
          <t>NYNÄSHAMN</t>
        </is>
      </c>
      <c r="G93" t="n">
        <v>2.7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52911-2024</t>
        </is>
      </c>
      <c r="B94" s="1" t="n">
        <v>45610.70392361111</v>
      </c>
      <c r="C94" s="1" t="n">
        <v>45930</v>
      </c>
      <c r="D94" t="inlineStr">
        <is>
          <t>STOCKHOLMS LÄN</t>
        </is>
      </c>
      <c r="E94" t="inlineStr">
        <is>
          <t>NYNÄSHAMN</t>
        </is>
      </c>
      <c r="G94" t="n">
        <v>0.8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9017-2023</t>
        </is>
      </c>
      <c r="B95" s="1" t="n">
        <v>44979</v>
      </c>
      <c r="C95" s="1" t="n">
        <v>45930</v>
      </c>
      <c r="D95" t="inlineStr">
        <is>
          <t>STOCKHOLMS LÄN</t>
        </is>
      </c>
      <c r="E95" t="inlineStr">
        <is>
          <t>NYNÄSHAMN</t>
        </is>
      </c>
      <c r="F95" t="inlineStr">
        <is>
          <t>Kommuner</t>
        </is>
      </c>
      <c r="G95" t="n">
        <v>2.7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52950-2024</t>
        </is>
      </c>
      <c r="B96" s="1" t="n">
        <v>45610.89103009259</v>
      </c>
      <c r="C96" s="1" t="n">
        <v>45930</v>
      </c>
      <c r="D96" t="inlineStr">
        <is>
          <t>STOCKHOLMS LÄN</t>
        </is>
      </c>
      <c r="E96" t="inlineStr">
        <is>
          <t>NYNÄSHAMN</t>
        </is>
      </c>
      <c r="G96" t="n">
        <v>5.3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32074-2023</t>
        </is>
      </c>
      <c r="B97" s="1" t="n">
        <v>45119</v>
      </c>
      <c r="C97" s="1" t="n">
        <v>45930</v>
      </c>
      <c r="D97" t="inlineStr">
        <is>
          <t>STOCKHOLMS LÄN</t>
        </is>
      </c>
      <c r="E97" t="inlineStr">
        <is>
          <t>NYNÄSHAMN</t>
        </is>
      </c>
      <c r="F97" t="inlineStr">
        <is>
          <t>Kommuner</t>
        </is>
      </c>
      <c r="G97" t="n">
        <v>13.1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57375-2024</t>
        </is>
      </c>
      <c r="B98" s="1" t="n">
        <v>45629.67396990741</v>
      </c>
      <c r="C98" s="1" t="n">
        <v>45930</v>
      </c>
      <c r="D98" t="inlineStr">
        <is>
          <t>STOCKHOLMS LÄN</t>
        </is>
      </c>
      <c r="E98" t="inlineStr">
        <is>
          <t>NYNÄSHAMN</t>
        </is>
      </c>
      <c r="G98" t="n">
        <v>2.9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33787-2024</t>
        </is>
      </c>
      <c r="B99" s="1" t="n">
        <v>45520</v>
      </c>
      <c r="C99" s="1" t="n">
        <v>45930</v>
      </c>
      <c r="D99" t="inlineStr">
        <is>
          <t>STOCKHOLMS LÄN</t>
        </is>
      </c>
      <c r="E99" t="inlineStr">
        <is>
          <t>NYNÄSHAMN</t>
        </is>
      </c>
      <c r="G99" t="n">
        <v>2.2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47089-2023</t>
        </is>
      </c>
      <c r="B100" s="1" t="n">
        <v>45196</v>
      </c>
      <c r="C100" s="1" t="n">
        <v>45930</v>
      </c>
      <c r="D100" t="inlineStr">
        <is>
          <t>STOCKHOLMS LÄN</t>
        </is>
      </c>
      <c r="E100" t="inlineStr">
        <is>
          <t>NYNÄSHAMN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47093-2023</t>
        </is>
      </c>
      <c r="B101" s="1" t="n">
        <v>45196</v>
      </c>
      <c r="C101" s="1" t="n">
        <v>45930</v>
      </c>
      <c r="D101" t="inlineStr">
        <is>
          <t>STOCKHOLMS LÄN</t>
        </is>
      </c>
      <c r="E101" t="inlineStr">
        <is>
          <t>NYNÄSHAMN</t>
        </is>
      </c>
      <c r="G101" t="n">
        <v>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41281-2021</t>
        </is>
      </c>
      <c r="B102" s="1" t="n">
        <v>44424</v>
      </c>
      <c r="C102" s="1" t="n">
        <v>45930</v>
      </c>
      <c r="D102" t="inlineStr">
        <is>
          <t>STOCKHOLMS LÄN</t>
        </is>
      </c>
      <c r="E102" t="inlineStr">
        <is>
          <t>NYNÄSHAMN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35356-2023</t>
        </is>
      </c>
      <c r="B103" s="1" t="n">
        <v>45146.51179398148</v>
      </c>
      <c r="C103" s="1" t="n">
        <v>45930</v>
      </c>
      <c r="D103" t="inlineStr">
        <is>
          <t>STOCKHOLMS LÄN</t>
        </is>
      </c>
      <c r="E103" t="inlineStr">
        <is>
          <t>NYNÄSHAMN</t>
        </is>
      </c>
      <c r="G103" t="n">
        <v>1.1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8932-2023</t>
        </is>
      </c>
      <c r="B104" s="1" t="n">
        <v>44979</v>
      </c>
      <c r="C104" s="1" t="n">
        <v>45930</v>
      </c>
      <c r="D104" t="inlineStr">
        <is>
          <t>STOCKHOLMS LÄN</t>
        </is>
      </c>
      <c r="E104" t="inlineStr">
        <is>
          <t>NYNÄSHAMN</t>
        </is>
      </c>
      <c r="G104" t="n">
        <v>2.3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46818-2025</t>
        </is>
      </c>
      <c r="B105" s="1" t="n">
        <v>45926.71837962963</v>
      </c>
      <c r="C105" s="1" t="n">
        <v>45930</v>
      </c>
      <c r="D105" t="inlineStr">
        <is>
          <t>STOCKHOLMS LÄN</t>
        </is>
      </c>
      <c r="E105" t="inlineStr">
        <is>
          <t>NYNÄSHAMN</t>
        </is>
      </c>
      <c r="G105" t="n">
        <v>9.4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1658-2022</t>
        </is>
      </c>
      <c r="B106" s="1" t="n">
        <v>44574</v>
      </c>
      <c r="C106" s="1" t="n">
        <v>45930</v>
      </c>
      <c r="D106" t="inlineStr">
        <is>
          <t>STOCKHOLMS LÄN</t>
        </is>
      </c>
      <c r="E106" t="inlineStr">
        <is>
          <t>NYNÄSHAMN</t>
        </is>
      </c>
      <c r="F106" t="inlineStr">
        <is>
          <t>Kommuner</t>
        </is>
      </c>
      <c r="G106" t="n">
        <v>2.5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15839-2025</t>
        </is>
      </c>
      <c r="B107" s="1" t="n">
        <v>45748.868125</v>
      </c>
      <c r="C107" s="1" t="n">
        <v>45930</v>
      </c>
      <c r="D107" t="inlineStr">
        <is>
          <t>STOCKHOLMS LÄN</t>
        </is>
      </c>
      <c r="E107" t="inlineStr">
        <is>
          <t>NYNÄSHAMN</t>
        </is>
      </c>
      <c r="G107" t="n">
        <v>2.9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34818-2021</t>
        </is>
      </c>
      <c r="B108" s="1" t="n">
        <v>44383.35518518519</v>
      </c>
      <c r="C108" s="1" t="n">
        <v>45930</v>
      </c>
      <c r="D108" t="inlineStr">
        <is>
          <t>STOCKHOLMS LÄN</t>
        </is>
      </c>
      <c r="E108" t="inlineStr">
        <is>
          <t>NYNÄSHAMN</t>
        </is>
      </c>
      <c r="G108" t="n">
        <v>0.9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18411-2025</t>
        </is>
      </c>
      <c r="B109" s="1" t="n">
        <v>45762.61413194444</v>
      </c>
      <c r="C109" s="1" t="n">
        <v>45930</v>
      </c>
      <c r="D109" t="inlineStr">
        <is>
          <t>STOCKHOLMS LÄN</t>
        </is>
      </c>
      <c r="E109" t="inlineStr">
        <is>
          <t>NYNÄSHAMN</t>
        </is>
      </c>
      <c r="G109" t="n">
        <v>11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33667-2022</t>
        </is>
      </c>
      <c r="B110" s="1" t="n">
        <v>44789</v>
      </c>
      <c r="C110" s="1" t="n">
        <v>45930</v>
      </c>
      <c r="D110" t="inlineStr">
        <is>
          <t>STOCKHOLMS LÄN</t>
        </is>
      </c>
      <c r="E110" t="inlineStr">
        <is>
          <t>NYNÄSHAMN</t>
        </is>
      </c>
      <c r="G110" t="n">
        <v>3.3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15460-2025</t>
        </is>
      </c>
      <c r="B111" s="1" t="n">
        <v>45747.51049768519</v>
      </c>
      <c r="C111" s="1" t="n">
        <v>45930</v>
      </c>
      <c r="D111" t="inlineStr">
        <is>
          <t>STOCKHOLMS LÄN</t>
        </is>
      </c>
      <c r="E111" t="inlineStr">
        <is>
          <t>NYNÄSHAMN</t>
        </is>
      </c>
      <c r="G111" t="n">
        <v>1.1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30910-2023</t>
        </is>
      </c>
      <c r="B112" s="1" t="n">
        <v>45113</v>
      </c>
      <c r="C112" s="1" t="n">
        <v>45930</v>
      </c>
      <c r="D112" t="inlineStr">
        <is>
          <t>STOCKHOLMS LÄN</t>
        </is>
      </c>
      <c r="E112" t="inlineStr">
        <is>
          <t>NYNÄSHAMN</t>
        </is>
      </c>
      <c r="G112" t="n">
        <v>1.2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16793-2023</t>
        </is>
      </c>
      <c r="B113" s="1" t="n">
        <v>45028</v>
      </c>
      <c r="C113" s="1" t="n">
        <v>45930</v>
      </c>
      <c r="D113" t="inlineStr">
        <is>
          <t>STOCKHOLMS LÄN</t>
        </is>
      </c>
      <c r="E113" t="inlineStr">
        <is>
          <t>NYNÄSHAMN</t>
        </is>
      </c>
      <c r="G113" t="n">
        <v>0.8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10224-2023</t>
        </is>
      </c>
      <c r="B114" s="1" t="n">
        <v>44986.61554398148</v>
      </c>
      <c r="C114" s="1" t="n">
        <v>45930</v>
      </c>
      <c r="D114" t="inlineStr">
        <is>
          <t>STOCKHOLMS LÄN</t>
        </is>
      </c>
      <c r="E114" t="inlineStr">
        <is>
          <t>NYNÄSHAMN</t>
        </is>
      </c>
      <c r="G114" t="n">
        <v>1.5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636-2025</t>
        </is>
      </c>
      <c r="B115" s="1" t="n">
        <v>45664.63822916667</v>
      </c>
      <c r="C115" s="1" t="n">
        <v>45930</v>
      </c>
      <c r="D115" t="inlineStr">
        <is>
          <t>STOCKHOLMS LÄN</t>
        </is>
      </c>
      <c r="E115" t="inlineStr">
        <is>
          <t>NYNÄSHAMN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60977-2022</t>
        </is>
      </c>
      <c r="B116" s="1" t="n">
        <v>44908</v>
      </c>
      <c r="C116" s="1" t="n">
        <v>45930</v>
      </c>
      <c r="D116" t="inlineStr">
        <is>
          <t>STOCKHOLMS LÄN</t>
        </is>
      </c>
      <c r="E116" t="inlineStr">
        <is>
          <t>NYNÄSHAMN</t>
        </is>
      </c>
      <c r="G116" t="n">
        <v>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2170-2023</t>
        </is>
      </c>
      <c r="B117" s="1" t="n">
        <v>44941</v>
      </c>
      <c r="C117" s="1" t="n">
        <v>45930</v>
      </c>
      <c r="D117" t="inlineStr">
        <is>
          <t>STOCKHOLMS LÄN</t>
        </is>
      </c>
      <c r="E117" t="inlineStr">
        <is>
          <t>NYNÄSHAMN</t>
        </is>
      </c>
      <c r="G117" t="n">
        <v>3.1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41767-2024</t>
        </is>
      </c>
      <c r="B118" s="1" t="n">
        <v>45561.34616898148</v>
      </c>
      <c r="C118" s="1" t="n">
        <v>45930</v>
      </c>
      <c r="D118" t="inlineStr">
        <is>
          <t>STOCKHOLMS LÄN</t>
        </is>
      </c>
      <c r="E118" t="inlineStr">
        <is>
          <t>NYNÄSHAMN</t>
        </is>
      </c>
      <c r="G118" t="n">
        <v>0.9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37103-2021</t>
        </is>
      </c>
      <c r="B119" s="1" t="n">
        <v>44396</v>
      </c>
      <c r="C119" s="1" t="n">
        <v>45930</v>
      </c>
      <c r="D119" t="inlineStr">
        <is>
          <t>STOCKHOLMS LÄN</t>
        </is>
      </c>
      <c r="E119" t="inlineStr">
        <is>
          <t>NYNÄSHAMN</t>
        </is>
      </c>
      <c r="G119" t="n">
        <v>12.4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37104-2021</t>
        </is>
      </c>
      <c r="B120" s="1" t="n">
        <v>44396</v>
      </c>
      <c r="C120" s="1" t="n">
        <v>45930</v>
      </c>
      <c r="D120" t="inlineStr">
        <is>
          <t>STOCKHOLMS LÄN</t>
        </is>
      </c>
      <c r="E120" t="inlineStr">
        <is>
          <t>NYNÄSHAMN</t>
        </is>
      </c>
      <c r="G120" t="n">
        <v>3.8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15465-2025</t>
        </is>
      </c>
      <c r="B121" s="1" t="n">
        <v>45747.51586805555</v>
      </c>
      <c r="C121" s="1" t="n">
        <v>45930</v>
      </c>
      <c r="D121" t="inlineStr">
        <is>
          <t>STOCKHOLMS LÄN</t>
        </is>
      </c>
      <c r="E121" t="inlineStr">
        <is>
          <t>NYNÄSHAMN</t>
        </is>
      </c>
      <c r="G121" t="n">
        <v>1.7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3341-2025</t>
        </is>
      </c>
      <c r="B122" s="1" t="n">
        <v>45679</v>
      </c>
      <c r="C122" s="1" t="n">
        <v>45930</v>
      </c>
      <c r="D122" t="inlineStr">
        <is>
          <t>STOCKHOLMS LÄN</t>
        </is>
      </c>
      <c r="E122" t="inlineStr">
        <is>
          <t>NYNÄSHAMN</t>
        </is>
      </c>
      <c r="F122" t="inlineStr">
        <is>
          <t>Kommuner</t>
        </is>
      </c>
      <c r="G122" t="n">
        <v>1.2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1658-2022</t>
        </is>
      </c>
      <c r="B123" s="1" t="n">
        <v>44574</v>
      </c>
      <c r="C123" s="1" t="n">
        <v>45930</v>
      </c>
      <c r="D123" t="inlineStr">
        <is>
          <t>STOCKHOLMS LÄN</t>
        </is>
      </c>
      <c r="E123" t="inlineStr">
        <is>
          <t>NYNÄSHAMN</t>
        </is>
      </c>
      <c r="F123" t="inlineStr">
        <is>
          <t>Kommuner</t>
        </is>
      </c>
      <c r="G123" t="n">
        <v>2.5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21202-2025</t>
        </is>
      </c>
      <c r="B124" s="1" t="n">
        <v>45779.47872685185</v>
      </c>
      <c r="C124" s="1" t="n">
        <v>45930</v>
      </c>
      <c r="D124" t="inlineStr">
        <is>
          <t>STOCKHOLMS LÄN</t>
        </is>
      </c>
      <c r="E124" t="inlineStr">
        <is>
          <t>NYNÄSHAMN</t>
        </is>
      </c>
      <c r="G124" t="n">
        <v>3.5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34660-2023</t>
        </is>
      </c>
      <c r="B125" s="1" t="n">
        <v>45140</v>
      </c>
      <c r="C125" s="1" t="n">
        <v>45930</v>
      </c>
      <c r="D125" t="inlineStr">
        <is>
          <t>STOCKHOLMS LÄN</t>
        </is>
      </c>
      <c r="E125" t="inlineStr">
        <is>
          <t>NYNÄSHAMN</t>
        </is>
      </c>
      <c r="G125" t="n">
        <v>1.7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31808-2023</t>
        </is>
      </c>
      <c r="B126" s="1" t="n">
        <v>45118.47105324074</v>
      </c>
      <c r="C126" s="1" t="n">
        <v>45930</v>
      </c>
      <c r="D126" t="inlineStr">
        <is>
          <t>STOCKHOLMS LÄN</t>
        </is>
      </c>
      <c r="E126" t="inlineStr">
        <is>
          <t>NYNÄSHAMN</t>
        </is>
      </c>
      <c r="F126" t="inlineStr">
        <is>
          <t>Kommuner</t>
        </is>
      </c>
      <c r="G126" t="n">
        <v>4.3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22721-2025</t>
        </is>
      </c>
      <c r="B127" s="1" t="n">
        <v>45789.57309027778</v>
      </c>
      <c r="C127" s="1" t="n">
        <v>45930</v>
      </c>
      <c r="D127" t="inlineStr">
        <is>
          <t>STOCKHOLMS LÄN</t>
        </is>
      </c>
      <c r="E127" t="inlineStr">
        <is>
          <t>NYNÄSHAMN</t>
        </is>
      </c>
      <c r="F127" t="inlineStr">
        <is>
          <t>Kommuner</t>
        </is>
      </c>
      <c r="G127" t="n">
        <v>1.7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22740-2025</t>
        </is>
      </c>
      <c r="B128" s="1" t="n">
        <v>45789.59407407408</v>
      </c>
      <c r="C128" s="1" t="n">
        <v>45930</v>
      </c>
      <c r="D128" t="inlineStr">
        <is>
          <t>STOCKHOLMS LÄN</t>
        </is>
      </c>
      <c r="E128" t="inlineStr">
        <is>
          <t>NYNÄSHAMN</t>
        </is>
      </c>
      <c r="F128" t="inlineStr">
        <is>
          <t>Kommuner</t>
        </is>
      </c>
      <c r="G128" t="n">
        <v>0.8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22730-2025</t>
        </is>
      </c>
      <c r="B129" s="1" t="n">
        <v>45789.57819444445</v>
      </c>
      <c r="C129" s="1" t="n">
        <v>45930</v>
      </c>
      <c r="D129" t="inlineStr">
        <is>
          <t>STOCKHOLMS LÄN</t>
        </is>
      </c>
      <c r="E129" t="inlineStr">
        <is>
          <t>NYNÄSHAMN</t>
        </is>
      </c>
      <c r="F129" t="inlineStr">
        <is>
          <t>Kommuner</t>
        </is>
      </c>
      <c r="G129" t="n">
        <v>3.8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23397-2025</t>
        </is>
      </c>
      <c r="B130" s="1" t="n">
        <v>45791.90849537037</v>
      </c>
      <c r="C130" s="1" t="n">
        <v>45930</v>
      </c>
      <c r="D130" t="inlineStr">
        <is>
          <t>STOCKHOLMS LÄN</t>
        </is>
      </c>
      <c r="E130" t="inlineStr">
        <is>
          <t>NYNÄSHAMN</t>
        </is>
      </c>
      <c r="G130" t="n">
        <v>12.7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9062-2023</t>
        </is>
      </c>
      <c r="B131" s="1" t="n">
        <v>44979.72369212963</v>
      </c>
      <c r="C131" s="1" t="n">
        <v>45930</v>
      </c>
      <c r="D131" t="inlineStr">
        <is>
          <t>STOCKHOLMS LÄN</t>
        </is>
      </c>
      <c r="E131" t="inlineStr">
        <is>
          <t>NYNÄSHAMN</t>
        </is>
      </c>
      <c r="F131" t="inlineStr">
        <is>
          <t>Kommuner</t>
        </is>
      </c>
      <c r="G131" t="n">
        <v>3.4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47128-2023</t>
        </is>
      </c>
      <c r="B132" s="1" t="n">
        <v>45196</v>
      </c>
      <c r="C132" s="1" t="n">
        <v>45930</v>
      </c>
      <c r="D132" t="inlineStr">
        <is>
          <t>STOCKHOLMS LÄN</t>
        </is>
      </c>
      <c r="E132" t="inlineStr">
        <is>
          <t>NYNÄSHAMN</t>
        </is>
      </c>
      <c r="G132" t="n">
        <v>2.1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2367-2023</t>
        </is>
      </c>
      <c r="B133" s="1" t="n">
        <v>44942.67042824074</v>
      </c>
      <c r="C133" s="1" t="n">
        <v>45930</v>
      </c>
      <c r="D133" t="inlineStr">
        <is>
          <t>STOCKHOLMS LÄN</t>
        </is>
      </c>
      <c r="E133" t="inlineStr">
        <is>
          <t>NYNÄSHAMN</t>
        </is>
      </c>
      <c r="G133" t="n">
        <v>1.2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37098-2021</t>
        </is>
      </c>
      <c r="B134" s="1" t="n">
        <v>44396</v>
      </c>
      <c r="C134" s="1" t="n">
        <v>45930</v>
      </c>
      <c r="D134" t="inlineStr">
        <is>
          <t>STOCKHOLMS LÄN</t>
        </is>
      </c>
      <c r="E134" t="inlineStr">
        <is>
          <t>NYNÄSHAMN</t>
        </is>
      </c>
      <c r="G134" t="n">
        <v>12.9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26505-2024</t>
        </is>
      </c>
      <c r="B135" s="1" t="n">
        <v>45469</v>
      </c>
      <c r="C135" s="1" t="n">
        <v>45930</v>
      </c>
      <c r="D135" t="inlineStr">
        <is>
          <t>STOCKHOLMS LÄN</t>
        </is>
      </c>
      <c r="E135" t="inlineStr">
        <is>
          <t>NYNÄSHAMN</t>
        </is>
      </c>
      <c r="G135" t="n">
        <v>4.7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17990-2024</t>
        </is>
      </c>
      <c r="B136" s="1" t="n">
        <v>45419</v>
      </c>
      <c r="C136" s="1" t="n">
        <v>45930</v>
      </c>
      <c r="D136" t="inlineStr">
        <is>
          <t>STOCKHOLMS LÄN</t>
        </is>
      </c>
      <c r="E136" t="inlineStr">
        <is>
          <t>NYNÄSHAMN</t>
        </is>
      </c>
      <c r="G136" t="n">
        <v>0.4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29811-2025</t>
        </is>
      </c>
      <c r="B137" s="1" t="n">
        <v>45825</v>
      </c>
      <c r="C137" s="1" t="n">
        <v>45930</v>
      </c>
      <c r="D137" t="inlineStr">
        <is>
          <t>STOCKHOLMS LÄN</t>
        </is>
      </c>
      <c r="E137" t="inlineStr">
        <is>
          <t>NYNÄSHAMN</t>
        </is>
      </c>
      <c r="F137" t="inlineStr">
        <is>
          <t>Övriga statliga verk och myndigheter</t>
        </is>
      </c>
      <c r="G137" t="n">
        <v>4.7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32092-2023</t>
        </is>
      </c>
      <c r="B138" s="1" t="n">
        <v>45119</v>
      </c>
      <c r="C138" s="1" t="n">
        <v>45930</v>
      </c>
      <c r="D138" t="inlineStr">
        <is>
          <t>STOCKHOLMS LÄN</t>
        </is>
      </c>
      <c r="E138" t="inlineStr">
        <is>
          <t>NYNÄSHAMN</t>
        </is>
      </c>
      <c r="F138" t="inlineStr">
        <is>
          <t>Kommuner</t>
        </is>
      </c>
      <c r="G138" t="n">
        <v>12.4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52953-2024</t>
        </is>
      </c>
      <c r="B139" s="1" t="n">
        <v>45610.92077546296</v>
      </c>
      <c r="C139" s="1" t="n">
        <v>45930</v>
      </c>
      <c r="D139" t="inlineStr">
        <is>
          <t>STOCKHOLMS LÄN</t>
        </is>
      </c>
      <c r="E139" t="inlineStr">
        <is>
          <t>NYNÄSHAMN</t>
        </is>
      </c>
      <c r="G139" t="n">
        <v>6.4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13945-2025</t>
        </is>
      </c>
      <c r="B140" s="1" t="n">
        <v>45737.71512731481</v>
      </c>
      <c r="C140" s="1" t="n">
        <v>45930</v>
      </c>
      <c r="D140" t="inlineStr">
        <is>
          <t>STOCKHOLMS LÄN</t>
        </is>
      </c>
      <c r="E140" t="inlineStr">
        <is>
          <t>NYNÄSHAMN</t>
        </is>
      </c>
      <c r="G140" t="n">
        <v>1.5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40895-2024</t>
        </is>
      </c>
      <c r="B141" s="1" t="n">
        <v>45558.61607638889</v>
      </c>
      <c r="C141" s="1" t="n">
        <v>45930</v>
      </c>
      <c r="D141" t="inlineStr">
        <is>
          <t>STOCKHOLMS LÄN</t>
        </is>
      </c>
      <c r="E141" t="inlineStr">
        <is>
          <t>NYNÄSHAMN</t>
        </is>
      </c>
      <c r="G141" t="n">
        <v>3.7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32011-2023</t>
        </is>
      </c>
      <c r="B142" s="1" t="n">
        <v>45119</v>
      </c>
      <c r="C142" s="1" t="n">
        <v>45930</v>
      </c>
      <c r="D142" t="inlineStr">
        <is>
          <t>STOCKHOLMS LÄN</t>
        </is>
      </c>
      <c r="E142" t="inlineStr">
        <is>
          <t>NYNÄSHAMN</t>
        </is>
      </c>
      <c r="F142" t="inlineStr">
        <is>
          <t>Kommuner</t>
        </is>
      </c>
      <c r="G142" t="n">
        <v>5.4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21192-2023</t>
        </is>
      </c>
      <c r="B143" s="1" t="n">
        <v>45062</v>
      </c>
      <c r="C143" s="1" t="n">
        <v>45930</v>
      </c>
      <c r="D143" t="inlineStr">
        <is>
          <t>STOCKHOLMS LÄN</t>
        </is>
      </c>
      <c r="E143" t="inlineStr">
        <is>
          <t>NYNÄSHAMN</t>
        </is>
      </c>
      <c r="G143" t="n">
        <v>4.8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36052-2023</t>
        </is>
      </c>
      <c r="B144" s="1" t="n">
        <v>45149</v>
      </c>
      <c r="C144" s="1" t="n">
        <v>45930</v>
      </c>
      <c r="D144" t="inlineStr">
        <is>
          <t>STOCKHOLMS LÄN</t>
        </is>
      </c>
      <c r="E144" t="inlineStr">
        <is>
          <t>NYNÄSHAMN</t>
        </is>
      </c>
      <c r="G144" t="n">
        <v>1.9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48978-2023</t>
        </is>
      </c>
      <c r="B145" s="1" t="n">
        <v>45209</v>
      </c>
      <c r="C145" s="1" t="n">
        <v>45930</v>
      </c>
      <c r="D145" t="inlineStr">
        <is>
          <t>STOCKHOLMS LÄN</t>
        </is>
      </c>
      <c r="E145" t="inlineStr">
        <is>
          <t>NYNÄSHAMN</t>
        </is>
      </c>
      <c r="F145" t="inlineStr">
        <is>
          <t>Kyrkan</t>
        </is>
      </c>
      <c r="G145" t="n">
        <v>2.3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41680-2023</t>
        </is>
      </c>
      <c r="B146" s="1" t="n">
        <v>45173</v>
      </c>
      <c r="C146" s="1" t="n">
        <v>45930</v>
      </c>
      <c r="D146" t="inlineStr">
        <is>
          <t>STOCKHOLMS LÄN</t>
        </is>
      </c>
      <c r="E146" t="inlineStr">
        <is>
          <t>NYNÄSHAMN</t>
        </is>
      </c>
      <c r="G146" t="n">
        <v>12.3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26190-2022</t>
        </is>
      </c>
      <c r="B147" s="1" t="n">
        <v>44735</v>
      </c>
      <c r="C147" s="1" t="n">
        <v>45930</v>
      </c>
      <c r="D147" t="inlineStr">
        <is>
          <t>STOCKHOLMS LÄN</t>
        </is>
      </c>
      <c r="E147" t="inlineStr">
        <is>
          <t>NYNÄSHAMN</t>
        </is>
      </c>
      <c r="G147" t="n">
        <v>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63463-2023</t>
        </is>
      </c>
      <c r="B148" s="1" t="n">
        <v>45274</v>
      </c>
      <c r="C148" s="1" t="n">
        <v>45930</v>
      </c>
      <c r="D148" t="inlineStr">
        <is>
          <t>STOCKHOLMS LÄN</t>
        </is>
      </c>
      <c r="E148" t="inlineStr">
        <is>
          <t>NYNÄSHAMN</t>
        </is>
      </c>
      <c r="G148" t="n">
        <v>0.8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64494-2023</t>
        </is>
      </c>
      <c r="B149" s="1" t="n">
        <v>45280.93269675926</v>
      </c>
      <c r="C149" s="1" t="n">
        <v>45930</v>
      </c>
      <c r="D149" t="inlineStr">
        <is>
          <t>STOCKHOLMS LÄN</t>
        </is>
      </c>
      <c r="E149" t="inlineStr">
        <is>
          <t>NYNÄSHAMN</t>
        </is>
      </c>
      <c r="G149" t="n">
        <v>2.7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62013-2023</t>
        </is>
      </c>
      <c r="B150" s="1" t="n">
        <v>45266</v>
      </c>
      <c r="C150" s="1" t="n">
        <v>45930</v>
      </c>
      <c r="D150" t="inlineStr">
        <is>
          <t>STOCKHOLMS LÄN</t>
        </is>
      </c>
      <c r="E150" t="inlineStr">
        <is>
          <t>NYNÄSHAMN</t>
        </is>
      </c>
      <c r="G150" t="n">
        <v>1.6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55871-2023</t>
        </is>
      </c>
      <c r="B151" s="1" t="n">
        <v>45239.73435185185</v>
      </c>
      <c r="C151" s="1" t="n">
        <v>45930</v>
      </c>
      <c r="D151" t="inlineStr">
        <is>
          <t>STOCKHOLMS LÄN</t>
        </is>
      </c>
      <c r="E151" t="inlineStr">
        <is>
          <t>NYNÄSHAMN</t>
        </is>
      </c>
      <c r="F151" t="inlineStr">
        <is>
          <t>Kommuner</t>
        </is>
      </c>
      <c r="G151" t="n">
        <v>5.2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27748-2023</t>
        </is>
      </c>
      <c r="B152" s="1" t="n">
        <v>45098</v>
      </c>
      <c r="C152" s="1" t="n">
        <v>45930</v>
      </c>
      <c r="D152" t="inlineStr">
        <is>
          <t>STOCKHOLMS LÄN</t>
        </is>
      </c>
      <c r="E152" t="inlineStr">
        <is>
          <t>NYNÄSHAMN</t>
        </is>
      </c>
      <c r="G152" t="n">
        <v>1.2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62038-2023</t>
        </is>
      </c>
      <c r="B153" s="1" t="n">
        <v>45266</v>
      </c>
      <c r="C153" s="1" t="n">
        <v>45930</v>
      </c>
      <c r="D153" t="inlineStr">
        <is>
          <t>STOCKHOLMS LÄN</t>
        </is>
      </c>
      <c r="E153" t="inlineStr">
        <is>
          <t>NYNÄSHAMN</t>
        </is>
      </c>
      <c r="G153" t="n">
        <v>5.6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7180-2024</t>
        </is>
      </c>
      <c r="B154" s="1" t="n">
        <v>45344</v>
      </c>
      <c r="C154" s="1" t="n">
        <v>45930</v>
      </c>
      <c r="D154" t="inlineStr">
        <is>
          <t>STOCKHOLMS LÄN</t>
        </is>
      </c>
      <c r="E154" t="inlineStr">
        <is>
          <t>NYNÄSHAMN</t>
        </is>
      </c>
      <c r="G154" t="n">
        <v>1.5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41677-2023</t>
        </is>
      </c>
      <c r="B155" s="1" t="n">
        <v>45173</v>
      </c>
      <c r="C155" s="1" t="n">
        <v>45930</v>
      </c>
      <c r="D155" t="inlineStr">
        <is>
          <t>STOCKHOLMS LÄN</t>
        </is>
      </c>
      <c r="E155" t="inlineStr">
        <is>
          <t>NYNÄSHAMN</t>
        </is>
      </c>
      <c r="G155" t="n">
        <v>6.2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>
      <c r="A156" t="inlineStr">
        <is>
          <t>A 62878-2023</t>
        </is>
      </c>
      <c r="B156" s="1" t="n">
        <v>45272</v>
      </c>
      <c r="C156" s="1" t="n">
        <v>45930</v>
      </c>
      <c r="D156" t="inlineStr">
        <is>
          <t>STOCKHOLMS LÄN</t>
        </is>
      </c>
      <c r="E156" t="inlineStr">
        <is>
          <t>NYNÄSHAMN</t>
        </is>
      </c>
      <c r="G156" t="n">
        <v>3.1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2025-09-30T12:19:08Z</dcterms:created>
  <dcterms:modified xmlns:dcterms="http://purl.org/dc/terms/" xmlns:xsi="http://www.w3.org/2001/XMLSchema-instance" xsi:type="dcterms:W3CDTF">2025-09-30T12:19:08Z</dcterms:modified>
</cp:coreProperties>
</file>