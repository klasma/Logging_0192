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45294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45294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45294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45294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45294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45294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45294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45294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45294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45294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45294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45294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45294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45294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45294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45294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45294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24362-2019</t>
        </is>
      </c>
      <c r="B19" s="1" t="n">
        <v>43599</v>
      </c>
      <c r="C19" s="1" t="n">
        <v>45294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HYPERLINK("https://klasma.github.io/Logging_0192/artfynd/A 24362-2019 artfynd.xlsx", "A 24362-2019")</f>
        <v/>
      </c>
      <c r="T19">
        <f>HYPERLINK("https://klasma.github.io/Logging_0192/kartor/A 24362-2019 karta.png", "A 24362-2019")</f>
        <v/>
      </c>
      <c r="V19">
        <f>HYPERLINK("https://klasma.github.io/Logging_0192/klagomål/A 24362-2019 FSC-klagomål.docx", "A 24362-2019")</f>
        <v/>
      </c>
      <c r="W19">
        <f>HYPERLINK("https://klasma.github.io/Logging_0192/klagomålsmail/A 24362-2019 FSC-klagomål mail.docx", "A 24362-2019")</f>
        <v/>
      </c>
      <c r="X19">
        <f>HYPERLINK("https://klasma.github.io/Logging_0192/tillsyn/A 24362-2019 tillsynsbegäran.docx", "A 24362-2019")</f>
        <v/>
      </c>
      <c r="Y19">
        <f>HYPERLINK("https://klasma.github.io/Logging_0192/tillsynsmail/A 24362-2019 tillsynsbegäran mail.docx", "A 24362-2019")</f>
        <v/>
      </c>
    </row>
    <row r="20" ht="15" customHeight="1">
      <c r="A20" t="inlineStr">
        <is>
          <t>A 7152-2020</t>
        </is>
      </c>
      <c r="B20" s="1" t="n">
        <v>43869</v>
      </c>
      <c r="C20" s="1" t="n">
        <v>45294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HYPERLINK("https://klasma.github.io/Logging_0192/artfynd/A 7152-2020 artfynd.xlsx", "A 7152-2020")</f>
        <v/>
      </c>
      <c r="T20">
        <f>HYPERLINK("https://klasma.github.io/Logging_0192/kartor/A 7152-2020 karta.png", "A 7152-2020")</f>
        <v/>
      </c>
      <c r="V20">
        <f>HYPERLINK("https://klasma.github.io/Logging_0192/klagomål/A 7152-2020 FSC-klagomål.docx", "A 7152-2020")</f>
        <v/>
      </c>
      <c r="W20">
        <f>HYPERLINK("https://klasma.github.io/Logging_0192/klagomålsmail/A 7152-2020 FSC-klagomål mail.docx", "A 7152-2020")</f>
        <v/>
      </c>
      <c r="X20">
        <f>HYPERLINK("https://klasma.github.io/Logging_0192/tillsyn/A 7152-2020 tillsynsbegäran.docx", "A 7152-2020")</f>
        <v/>
      </c>
      <c r="Y20">
        <f>HYPERLINK("https://klasma.github.io/Logging_0192/tillsynsmail/A 7152-2020 tillsynsbegäran mail.docx", "A 7152-2020")</f>
        <v/>
      </c>
    </row>
    <row r="21" ht="15" customHeight="1">
      <c r="A21" t="inlineStr">
        <is>
          <t>A 18965-2020</t>
        </is>
      </c>
      <c r="B21" s="1" t="n">
        <v>43935</v>
      </c>
      <c r="C21" s="1" t="n">
        <v>45294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14.3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18965-2020 artfynd.xlsx", "A 18965-2020")</f>
        <v/>
      </c>
      <c r="T21">
        <f>HYPERLINK("https://klasma.github.io/Logging_0192/kartor/A 18965-2020 karta.png", "A 18965-2020")</f>
        <v/>
      </c>
      <c r="V21">
        <f>HYPERLINK("https://klasma.github.io/Logging_0192/klagomål/A 18965-2020 FSC-klagomål.docx", "A 18965-2020")</f>
        <v/>
      </c>
      <c r="W21">
        <f>HYPERLINK("https://klasma.github.io/Logging_0192/klagomålsmail/A 18965-2020 FSC-klagomål mail.docx", "A 18965-2020")</f>
        <v/>
      </c>
      <c r="X21">
        <f>HYPERLINK("https://klasma.github.io/Logging_0192/tillsyn/A 18965-2020 tillsynsbegäran.docx", "A 18965-2020")</f>
        <v/>
      </c>
      <c r="Y21">
        <f>HYPERLINK("https://klasma.github.io/Logging_0192/tillsynsmail/A 18965-2020 tillsynsbegäran mail.docx", "A 18965-2020")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45294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31980-2021</t>
        </is>
      </c>
      <c r="B23" s="1" t="n">
        <v>44370</v>
      </c>
      <c r="C23" s="1" t="n">
        <v>45294</v>
      </c>
      <c r="D23" t="inlineStr">
        <is>
          <t>STOCKHOLMS LÄN</t>
        </is>
      </c>
      <c r="E23" t="inlineStr">
        <is>
          <t>NYNÄSHAMN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Liten ekkremla</t>
        </is>
      </c>
      <c r="S23">
        <f>HYPERLINK("https://klasma.github.io/Logging_0192/artfynd/A 31980-2021 artfynd.xlsx", "A 31980-2021")</f>
        <v/>
      </c>
      <c r="T23">
        <f>HYPERLINK("https://klasma.github.io/Logging_0192/kartor/A 31980-2021 karta.png", "A 31980-2021")</f>
        <v/>
      </c>
      <c r="V23">
        <f>HYPERLINK("https://klasma.github.io/Logging_0192/klagomål/A 31980-2021 FSC-klagomål.docx", "A 31980-2021")</f>
        <v/>
      </c>
      <c r="W23">
        <f>HYPERLINK("https://klasma.github.io/Logging_0192/klagomålsmail/A 31980-2021 FSC-klagomål mail.docx", "A 31980-2021")</f>
        <v/>
      </c>
      <c r="X23">
        <f>HYPERLINK("https://klasma.github.io/Logging_0192/tillsyn/A 31980-2021 tillsynsbegäran.docx", "A 31980-2021")</f>
        <v/>
      </c>
      <c r="Y23">
        <f>HYPERLINK("https://klasma.github.io/Logging_0192/tillsynsmail/A 31980-2021 tillsynsbegäran mail.docx", "A 31980-2021")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45294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42050-2021</t>
        </is>
      </c>
      <c r="B25" s="1" t="n">
        <v>44426</v>
      </c>
      <c r="C25" s="1" t="n">
        <v>45294</v>
      </c>
      <c r="D25" t="inlineStr">
        <is>
          <t>STOCKHOLMS LÄN</t>
        </is>
      </c>
      <c r="E25" t="inlineStr">
        <is>
          <t>NYNÄSHAMN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HYPERLINK("https://klasma.github.io/Logging_0192/artfynd/A 42050-2021 artfynd.xlsx", "A 42050-2021")</f>
        <v/>
      </c>
      <c r="T25">
        <f>HYPERLINK("https://klasma.github.io/Logging_0192/kartor/A 42050-2021 karta.png", "A 42050-2021")</f>
        <v/>
      </c>
      <c r="V25">
        <f>HYPERLINK("https://klasma.github.io/Logging_0192/klagomål/A 42050-2021 FSC-klagomål.docx", "A 42050-2021")</f>
        <v/>
      </c>
      <c r="W25">
        <f>HYPERLINK("https://klasma.github.io/Logging_0192/klagomålsmail/A 42050-2021 FSC-klagomål mail.docx", "A 42050-2021")</f>
        <v/>
      </c>
      <c r="X25">
        <f>HYPERLINK("https://klasma.github.io/Logging_0192/tillsyn/A 42050-2021 tillsynsbegäran.docx", "A 42050-2021")</f>
        <v/>
      </c>
      <c r="Y25">
        <f>HYPERLINK("https://klasma.github.io/Logging_0192/tillsynsmail/A 42050-2021 tillsynsbegäran mail.docx", "A 42050-2021")</f>
        <v/>
      </c>
    </row>
    <row r="26" ht="15" customHeight="1">
      <c r="A26" t="inlineStr">
        <is>
          <t>A 16309-2022</t>
        </is>
      </c>
      <c r="B26" s="1" t="n">
        <v>44670</v>
      </c>
      <c r="C26" s="1" t="n">
        <v>45294</v>
      </c>
      <c r="D26" t="inlineStr">
        <is>
          <t>STOCKHOLMS LÄN</t>
        </is>
      </c>
      <c r="E26" t="inlineStr">
        <is>
          <t>NYNÄSHAMN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16309-2022 artfynd.xlsx", "A 16309-2022")</f>
        <v/>
      </c>
      <c r="T26">
        <f>HYPERLINK("https://klasma.github.io/Logging_0192/kartor/A 16309-2022 karta.png", "A 16309-2022")</f>
        <v/>
      </c>
      <c r="V26">
        <f>HYPERLINK("https://klasma.github.io/Logging_0192/klagomål/A 16309-2022 FSC-klagomål.docx", "A 16309-2022")</f>
        <v/>
      </c>
      <c r="W26">
        <f>HYPERLINK("https://klasma.github.io/Logging_0192/klagomålsmail/A 16309-2022 FSC-klagomål mail.docx", "A 16309-2022")</f>
        <v/>
      </c>
      <c r="X26">
        <f>HYPERLINK("https://klasma.github.io/Logging_0192/tillsyn/A 16309-2022 tillsynsbegäran.docx", "A 16309-2022")</f>
        <v/>
      </c>
      <c r="Y26">
        <f>HYPERLINK("https://klasma.github.io/Logging_0192/tillsynsmail/A 16309-2022 tillsynsbegäran mail.docx", "A 16309-2022")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45294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7540-2023</t>
        </is>
      </c>
      <c r="B28" s="1" t="n">
        <v>44972</v>
      </c>
      <c r="C28" s="1" t="n">
        <v>45294</v>
      </c>
      <c r="D28" t="inlineStr">
        <is>
          <t>STOCKHOLMS LÄN</t>
        </is>
      </c>
      <c r="E28" t="inlineStr">
        <is>
          <t>NYNÄSHAMN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HYPERLINK("https://klasma.github.io/Logging_0192/artfynd/A 7540-2023 artfynd.xlsx", "A 7540-2023")</f>
        <v/>
      </c>
      <c r="T28">
        <f>HYPERLINK("https://klasma.github.io/Logging_0192/kartor/A 7540-2023 karta.png", "A 7540-2023")</f>
        <v/>
      </c>
      <c r="V28">
        <f>HYPERLINK("https://klasma.github.io/Logging_0192/klagomål/A 7540-2023 FSC-klagomål.docx", "A 7540-2023")</f>
        <v/>
      </c>
      <c r="W28">
        <f>HYPERLINK("https://klasma.github.io/Logging_0192/klagomålsmail/A 7540-2023 FSC-klagomål mail.docx", "A 7540-2023")</f>
        <v/>
      </c>
      <c r="X28">
        <f>HYPERLINK("https://klasma.github.io/Logging_0192/tillsyn/A 7540-2023 tillsynsbegäran.docx", "A 7540-2023")</f>
        <v/>
      </c>
      <c r="Y28">
        <f>HYPERLINK("https://klasma.github.io/Logging_0192/tillsynsmail/A 7540-2023 tillsynsbegäran mail.docx", "A 7540-2023")</f>
        <v/>
      </c>
    </row>
    <row r="29" ht="15" customHeight="1">
      <c r="A29" t="inlineStr">
        <is>
          <t>A 9268-2023</t>
        </is>
      </c>
      <c r="B29" s="1" t="n">
        <v>44980</v>
      </c>
      <c r="C29" s="1" t="n">
        <v>45294</v>
      </c>
      <c r="D29" t="inlineStr">
        <is>
          <t>STOCKHOLMS LÄN</t>
        </is>
      </c>
      <c r="E29" t="inlineStr">
        <is>
          <t>NYNÄSHAMN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9268-2023 artfynd.xlsx", "A 9268-2023")</f>
        <v/>
      </c>
      <c r="T29">
        <f>HYPERLINK("https://klasma.github.io/Logging_0192/kartor/A 9268-2023 karta.png", "A 9268-2023")</f>
        <v/>
      </c>
      <c r="V29">
        <f>HYPERLINK("https://klasma.github.io/Logging_0192/klagomål/A 9268-2023 FSC-klagomål.docx", "A 9268-2023")</f>
        <v/>
      </c>
      <c r="W29">
        <f>HYPERLINK("https://klasma.github.io/Logging_0192/klagomålsmail/A 9268-2023 FSC-klagomål mail.docx", "A 9268-2023")</f>
        <v/>
      </c>
      <c r="X29">
        <f>HYPERLINK("https://klasma.github.io/Logging_0192/tillsyn/A 9268-2023 tillsynsbegäran.docx", "A 9268-2023")</f>
        <v/>
      </c>
      <c r="Y29">
        <f>HYPERLINK("https://klasma.github.io/Logging_0192/tillsynsmail/A 9268-2023 tillsynsbegäran mail.docx", "A 9268-2023")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45294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45294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31842-2023</t>
        </is>
      </c>
      <c r="B32" s="1" t="n">
        <v>45118</v>
      </c>
      <c r="C32" s="1" t="n">
        <v>45294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31842-2023 artfynd.xlsx", "A 31842-2023")</f>
        <v/>
      </c>
      <c r="T32">
        <f>HYPERLINK("https://klasma.github.io/Logging_0192/kartor/A 31842-2023 karta.png", "A 31842-2023")</f>
        <v/>
      </c>
      <c r="V32">
        <f>HYPERLINK("https://klasma.github.io/Logging_0192/klagomål/A 31842-2023 FSC-klagomål.docx", "A 31842-2023")</f>
        <v/>
      </c>
      <c r="W32">
        <f>HYPERLINK("https://klasma.github.io/Logging_0192/klagomålsmail/A 31842-2023 FSC-klagomål mail.docx", "A 31842-2023")</f>
        <v/>
      </c>
      <c r="X32">
        <f>HYPERLINK("https://klasma.github.io/Logging_0192/tillsyn/A 31842-2023 tillsynsbegäran.docx", "A 31842-2023")</f>
        <v/>
      </c>
      <c r="Y32">
        <f>HYPERLINK("https://klasma.github.io/Logging_0192/tillsynsmail/A 31842-2023 tillsynsbegäran mail.docx", "A 31842-2023")</f>
        <v/>
      </c>
    </row>
    <row r="33" ht="15" customHeight="1">
      <c r="A33" t="inlineStr">
        <is>
          <t>A 33528-2023</t>
        </is>
      </c>
      <c r="B33" s="1" t="n">
        <v>45131</v>
      </c>
      <c r="C33" s="1" t="n">
        <v>45294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HYPERLINK("https://klasma.github.io/Logging_0192/artfynd/A 33528-2023 artfynd.xlsx", "A 33528-2023")</f>
        <v/>
      </c>
      <c r="T33">
        <f>HYPERLINK("https://klasma.github.io/Logging_0192/kartor/A 33528-2023 karta.png", "A 33528-2023")</f>
        <v/>
      </c>
      <c r="V33">
        <f>HYPERLINK("https://klasma.github.io/Logging_0192/klagomål/A 33528-2023 FSC-klagomål.docx", "A 33528-2023")</f>
        <v/>
      </c>
      <c r="W33">
        <f>HYPERLINK("https://klasma.github.io/Logging_0192/klagomålsmail/A 33528-2023 FSC-klagomål mail.docx", "A 33528-2023")</f>
        <v/>
      </c>
      <c r="X33">
        <f>HYPERLINK("https://klasma.github.io/Logging_0192/tillsyn/A 33528-2023 tillsynsbegäran.docx", "A 33528-2023")</f>
        <v/>
      </c>
      <c r="Y33">
        <f>HYPERLINK("https://klasma.github.io/Logging_0192/tillsynsmail/A 33528-2023 tillsynsbegäran mail.docx", "A 33528-2023")</f>
        <v/>
      </c>
    </row>
    <row r="34" ht="15" customHeight="1">
      <c r="A34" t="inlineStr">
        <is>
          <t>A 47110-2023</t>
        </is>
      </c>
      <c r="B34" s="1" t="n">
        <v>45196</v>
      </c>
      <c r="C34" s="1" t="n">
        <v>45294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Barrviolspindling</t>
        </is>
      </c>
      <c r="S34">
        <f>HYPERLINK("https://klasma.github.io/Logging_0192/artfynd/A 47110-2023 artfynd.xlsx", "A 47110-2023")</f>
        <v/>
      </c>
      <c r="T34">
        <f>HYPERLINK("https://klasma.github.io/Logging_0192/kartor/A 47110-2023 karta.png", "A 47110-2023")</f>
        <v/>
      </c>
      <c r="V34">
        <f>HYPERLINK("https://klasma.github.io/Logging_0192/klagomål/A 47110-2023 FSC-klagomål.docx", "A 47110-2023")</f>
        <v/>
      </c>
      <c r="W34">
        <f>HYPERLINK("https://klasma.github.io/Logging_0192/klagomålsmail/A 47110-2023 FSC-klagomål mail.docx", "A 47110-2023")</f>
        <v/>
      </c>
      <c r="X34">
        <f>HYPERLINK("https://klasma.github.io/Logging_0192/tillsyn/A 47110-2023 tillsynsbegäran.docx", "A 47110-2023")</f>
        <v/>
      </c>
      <c r="Y34">
        <f>HYPERLINK("https://klasma.github.io/Logging_0192/tillsynsmail/A 47110-2023 tillsynsbegäran mail.docx", "A 47110-2023")</f>
        <v/>
      </c>
    </row>
    <row r="35" ht="15" customHeight="1">
      <c r="A35" t="inlineStr">
        <is>
          <t>A 55872-2023</t>
        </is>
      </c>
      <c r="B35" s="1" t="n">
        <v>45239</v>
      </c>
      <c r="C35" s="1" t="n">
        <v>45294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HYPERLINK("https://klasma.github.io/Logging_0192/artfynd/A 55872-2023 artfynd.xlsx", "A 55872-2023")</f>
        <v/>
      </c>
      <c r="T35">
        <f>HYPERLINK("https://klasma.github.io/Logging_0192/kartor/A 55872-2023 karta.png", "A 55872-2023")</f>
        <v/>
      </c>
      <c r="V35">
        <f>HYPERLINK("https://klasma.github.io/Logging_0192/klagomål/A 55872-2023 FSC-klagomål.docx", "A 55872-2023")</f>
        <v/>
      </c>
      <c r="W35">
        <f>HYPERLINK("https://klasma.github.io/Logging_0192/klagomålsmail/A 55872-2023 FSC-klagomål mail.docx", "A 55872-2023")</f>
        <v/>
      </c>
      <c r="X35">
        <f>HYPERLINK("https://klasma.github.io/Logging_0192/tillsyn/A 55872-2023 tillsynsbegäran.docx", "A 55872-2023")</f>
        <v/>
      </c>
      <c r="Y35">
        <f>HYPERLINK("https://klasma.github.io/Logging_0192/tillsynsmail/A 55872-2023 tillsynsbegäran mail.docx", "A 55872-2023")</f>
        <v/>
      </c>
    </row>
    <row r="36" ht="15" customHeight="1">
      <c r="A36" t="inlineStr">
        <is>
          <t>A 62007-2023</t>
        </is>
      </c>
      <c r="B36" s="1" t="n">
        <v>45266</v>
      </c>
      <c r="C36" s="1" t="n">
        <v>45294</v>
      </c>
      <c r="D36" t="inlineStr">
        <is>
          <t>STOCKHOLMS LÄN</t>
        </is>
      </c>
      <c r="E36" t="inlineStr">
        <is>
          <t>NYNÄSHAMN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HYPERLINK("https://klasma.github.io/Logging_0192/artfynd/A 62007-2023 artfynd.xlsx", "A 62007-2023")</f>
        <v/>
      </c>
      <c r="T36">
        <f>HYPERLINK("https://klasma.github.io/Logging_0192/kartor/A 62007-2023 karta.png", "A 62007-2023")</f>
        <v/>
      </c>
      <c r="V36">
        <f>HYPERLINK("https://klasma.github.io/Logging_0192/klagomål/A 62007-2023 FSC-klagomål.docx", "A 62007-2023")</f>
        <v/>
      </c>
      <c r="W36">
        <f>HYPERLINK("https://klasma.github.io/Logging_0192/klagomålsmail/A 62007-2023 FSC-klagomål mail.docx", "A 62007-2023")</f>
        <v/>
      </c>
      <c r="X36">
        <f>HYPERLINK("https://klasma.github.io/Logging_0192/tillsyn/A 62007-2023 tillsynsbegäran.docx", "A 62007-2023")</f>
        <v/>
      </c>
      <c r="Y36">
        <f>HYPERLINK("https://klasma.github.io/Logging_0192/tillsynsmail/A 62007-2023 tillsynsbegäran mail.docx", "A 62007-2023")</f>
        <v/>
      </c>
    </row>
    <row r="37" ht="15" customHeight="1">
      <c r="A37" t="inlineStr">
        <is>
          <t>A 40357-2018</t>
        </is>
      </c>
      <c r="B37" s="1" t="n">
        <v>43345</v>
      </c>
      <c r="C37" s="1" t="n">
        <v>45294</v>
      </c>
      <c r="D37" t="inlineStr">
        <is>
          <t>STOCKHOLMS LÄN</t>
        </is>
      </c>
      <c r="E37" t="inlineStr">
        <is>
          <t>NYNÄSHAMN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60631-2018</t>
        </is>
      </c>
      <c r="B38" s="1" t="n">
        <v>43420</v>
      </c>
      <c r="C38" s="1" t="n">
        <v>45294</v>
      </c>
      <c r="D38" t="inlineStr">
        <is>
          <t>STOCKHOLMS LÄN</t>
        </is>
      </c>
      <c r="E38" t="inlineStr">
        <is>
          <t>NYNÄSHAMN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61490-2018</t>
        </is>
      </c>
      <c r="B39" s="1" t="n">
        <v>43424</v>
      </c>
      <c r="C39" s="1" t="n">
        <v>45294</v>
      </c>
      <c r="D39" t="inlineStr">
        <is>
          <t>STOCKHOLMS LÄN</t>
        </is>
      </c>
      <c r="E39" t="inlineStr">
        <is>
          <t>NYNÄSHAMN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61495-2018</t>
        </is>
      </c>
      <c r="B40" s="1" t="n">
        <v>43424</v>
      </c>
      <c r="C40" s="1" t="n">
        <v>45294</v>
      </c>
      <c r="D40" t="inlineStr">
        <is>
          <t>STOCKHOLMS LÄN</t>
        </is>
      </c>
      <c r="E40" t="inlineStr">
        <is>
          <t>NYNÄSHAMN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69314-2018</t>
        </is>
      </c>
      <c r="B41" s="1" t="n">
        <v>43446</v>
      </c>
      <c r="C41" s="1" t="n">
        <v>45294</v>
      </c>
      <c r="D41" t="inlineStr">
        <is>
          <t>STOCKHOLMS LÄN</t>
        </is>
      </c>
      <c r="E41" t="inlineStr">
        <is>
          <t>NYNÄSHAMN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69301-2018</t>
        </is>
      </c>
      <c r="B42" s="1" t="n">
        <v>43446</v>
      </c>
      <c r="C42" s="1" t="n">
        <v>45294</v>
      </c>
      <c r="D42" t="inlineStr">
        <is>
          <t>STOCKHOLMS LÄN</t>
        </is>
      </c>
      <c r="E42" t="inlineStr">
        <is>
          <t>NYNÄSHAMN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1424-2019</t>
        </is>
      </c>
      <c r="B43" s="1" t="n">
        <v>43461</v>
      </c>
      <c r="C43" s="1" t="n">
        <v>45294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2967-2019</t>
        </is>
      </c>
      <c r="B44" s="1" t="n">
        <v>43479</v>
      </c>
      <c r="C44" s="1" t="n">
        <v>45294</v>
      </c>
      <c r="D44" t="inlineStr">
        <is>
          <t>STOCKHOLMS LÄN</t>
        </is>
      </c>
      <c r="E44" t="inlineStr">
        <is>
          <t>NYNÄSHAMN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3342-2019</t>
        </is>
      </c>
      <c r="B45" s="1" t="n">
        <v>43480</v>
      </c>
      <c r="C45" s="1" t="n">
        <v>45294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7432-2019</t>
        </is>
      </c>
      <c r="B46" s="1" t="n">
        <v>43497</v>
      </c>
      <c r="C46" s="1" t="n">
        <v>45294</v>
      </c>
      <c r="D46" t="inlineStr">
        <is>
          <t>STOCKHOLMS LÄN</t>
        </is>
      </c>
      <c r="E46" t="inlineStr">
        <is>
          <t>NYNÄSHAMN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12450-2019</t>
        </is>
      </c>
      <c r="B47" s="1" t="n">
        <v>43523</v>
      </c>
      <c r="C47" s="1" t="n">
        <v>45294</v>
      </c>
      <c r="D47" t="inlineStr">
        <is>
          <t>STOCKHOLMS LÄN</t>
        </is>
      </c>
      <c r="E47" t="inlineStr">
        <is>
          <t>NYNÄSHAMN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15161-2019</t>
        </is>
      </c>
      <c r="B48" s="1" t="n">
        <v>43538</v>
      </c>
      <c r="C48" s="1" t="n">
        <v>45294</v>
      </c>
      <c r="D48" t="inlineStr">
        <is>
          <t>STOCKHOLMS LÄN</t>
        </is>
      </c>
      <c r="E48" t="inlineStr">
        <is>
          <t>NYNÄSHAMN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23783-2019</t>
        </is>
      </c>
      <c r="B49" s="1" t="n">
        <v>43592</v>
      </c>
      <c r="C49" s="1" t="n">
        <v>45294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45294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45294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45294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45294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45294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45294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45294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45294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45294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45294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45294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45294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45294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45294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45294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45294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45294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45294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45294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45294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45294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7151-2020</t>
        </is>
      </c>
      <c r="B71" s="1" t="n">
        <v>43869</v>
      </c>
      <c r="C71" s="1" t="n">
        <v>45294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45294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45294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45294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45294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45294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45294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45294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45294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45294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45294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45294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45294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45294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45294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45294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45294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45294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45294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45294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45294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45294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45294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45294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45294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45294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45294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45294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45294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45294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45294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45294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45294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45294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45294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45294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45294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45294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45294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45294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45294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45294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45294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45294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45294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45294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45294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45294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45294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45294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45294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45294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45294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45294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45294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45294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45294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45294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45294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45294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45294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45294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45294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45294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45294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45294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45294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45294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45294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10059-2022</t>
        </is>
      </c>
      <c r="B140" s="1" t="n">
        <v>44621</v>
      </c>
      <c r="C140" s="1" t="n">
        <v>45294</v>
      </c>
      <c r="D140" t="inlineStr">
        <is>
          <t>STOCKHOLMS LÄN</t>
        </is>
      </c>
      <c r="E140" t="inlineStr">
        <is>
          <t>NYNÄSHAMN</t>
        </is>
      </c>
      <c r="G140" t="n">
        <v>17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45294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45294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45294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45294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45294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45294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45294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45294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45294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45294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45294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45294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4688-2023</t>
        </is>
      </c>
      <c r="B153" s="1" t="n">
        <v>44957</v>
      </c>
      <c r="C153" s="1" t="n">
        <v>45294</v>
      </c>
      <c r="D153" t="inlineStr">
        <is>
          <t>STOCKHOLMS LÄN</t>
        </is>
      </c>
      <c r="E153" t="inlineStr">
        <is>
          <t>NYNÄSHAMN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5567-2023</t>
        </is>
      </c>
      <c r="B154" s="1" t="n">
        <v>44960</v>
      </c>
      <c r="C154" s="1" t="n">
        <v>45294</v>
      </c>
      <c r="D154" t="inlineStr">
        <is>
          <t>STOCKHOLMS LÄN</t>
        </is>
      </c>
      <c r="E154" t="inlineStr">
        <is>
          <t>NYNÄSHAMN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7571-2023</t>
        </is>
      </c>
      <c r="B155" s="1" t="n">
        <v>44972</v>
      </c>
      <c r="C155" s="1" t="n">
        <v>45294</v>
      </c>
      <c r="D155" t="inlineStr">
        <is>
          <t>STOCKHOLMS LÄN</t>
        </is>
      </c>
      <c r="E155" t="inlineStr">
        <is>
          <t>NYNÄSHAMN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7776-2023</t>
        </is>
      </c>
      <c r="B156" s="1" t="n">
        <v>44973</v>
      </c>
      <c r="C156" s="1" t="n">
        <v>45294</v>
      </c>
      <c r="D156" t="inlineStr">
        <is>
          <t>STOCKHOLMS LÄN</t>
        </is>
      </c>
      <c r="E156" t="inlineStr">
        <is>
          <t>NYNÄSHAMN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8932-2023</t>
        </is>
      </c>
      <c r="B157" s="1" t="n">
        <v>44979</v>
      </c>
      <c r="C157" s="1" t="n">
        <v>45294</v>
      </c>
      <c r="D157" t="inlineStr">
        <is>
          <t>STOCKHOLMS LÄN</t>
        </is>
      </c>
      <c r="E157" t="inlineStr">
        <is>
          <t>NYNÄSHAMN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8939-2023</t>
        </is>
      </c>
      <c r="B158" s="1" t="n">
        <v>44979</v>
      </c>
      <c r="C158" s="1" t="n">
        <v>45294</v>
      </c>
      <c r="D158" t="inlineStr">
        <is>
          <t>STOCKHOLMS LÄN</t>
        </is>
      </c>
      <c r="E158" t="inlineStr">
        <is>
          <t>NYNÄSHAMN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9020-2023</t>
        </is>
      </c>
      <c r="B159" s="1" t="n">
        <v>44979</v>
      </c>
      <c r="C159" s="1" t="n">
        <v>45294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9062-2023</t>
        </is>
      </c>
      <c r="B160" s="1" t="n">
        <v>44979</v>
      </c>
      <c r="C160" s="1" t="n">
        <v>45294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9011-2023</t>
        </is>
      </c>
      <c r="B161" s="1" t="n">
        <v>44979</v>
      </c>
      <c r="C161" s="1" t="n">
        <v>45294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9017-2023</t>
        </is>
      </c>
      <c r="B162" s="1" t="n">
        <v>44979</v>
      </c>
      <c r="C162" s="1" t="n">
        <v>45294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10224-2023</t>
        </is>
      </c>
      <c r="B163" s="1" t="n">
        <v>44986</v>
      </c>
      <c r="C163" s="1" t="n">
        <v>45294</v>
      </c>
      <c r="D163" t="inlineStr">
        <is>
          <t>STOCKHOLMS LÄN</t>
        </is>
      </c>
      <c r="E163" t="inlineStr">
        <is>
          <t>NYNÄSHAMN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10615-2023</t>
        </is>
      </c>
      <c r="B164" s="1" t="n">
        <v>44988</v>
      </c>
      <c r="C164" s="1" t="n">
        <v>45294</v>
      </c>
      <c r="D164" t="inlineStr">
        <is>
          <t>STOCKHOLMS LÄN</t>
        </is>
      </c>
      <c r="E164" t="inlineStr">
        <is>
          <t>NYNÄSHAMN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16793-2023</t>
        </is>
      </c>
      <c r="B165" s="1" t="n">
        <v>45028</v>
      </c>
      <c r="C165" s="1" t="n">
        <v>45294</v>
      </c>
      <c r="D165" t="inlineStr">
        <is>
          <t>STOCKHOLMS LÄN</t>
        </is>
      </c>
      <c r="E165" t="inlineStr">
        <is>
          <t>NYNÄSHAMN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21192-2023</t>
        </is>
      </c>
      <c r="B166" s="1" t="n">
        <v>45062</v>
      </c>
      <c r="C166" s="1" t="n">
        <v>45294</v>
      </c>
      <c r="D166" t="inlineStr">
        <is>
          <t>STOCKHOLMS LÄN</t>
        </is>
      </c>
      <c r="E166" t="inlineStr">
        <is>
          <t>NYNÄSHAMN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25175-2023</t>
        </is>
      </c>
      <c r="B167" s="1" t="n">
        <v>45086</v>
      </c>
      <c r="C167" s="1" t="n">
        <v>45294</v>
      </c>
      <c r="D167" t="inlineStr">
        <is>
          <t>STOCKHOLMS LÄN</t>
        </is>
      </c>
      <c r="E167" t="inlineStr">
        <is>
          <t>NYNÄSHAMN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27748-2023</t>
        </is>
      </c>
      <c r="B168" s="1" t="n">
        <v>45098</v>
      </c>
      <c r="C168" s="1" t="n">
        <v>45294</v>
      </c>
      <c r="D168" t="inlineStr">
        <is>
          <t>STOCKHOLMS LÄN</t>
        </is>
      </c>
      <c r="E168" t="inlineStr">
        <is>
          <t>NYNÄSHAMN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30910-2023</t>
        </is>
      </c>
      <c r="B169" s="1" t="n">
        <v>45113</v>
      </c>
      <c r="C169" s="1" t="n">
        <v>45294</v>
      </c>
      <c r="D169" t="inlineStr">
        <is>
          <t>STOCKHOLMS LÄN</t>
        </is>
      </c>
      <c r="E169" t="inlineStr">
        <is>
          <t>NYNÄSHAMN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31808-2023</t>
        </is>
      </c>
      <c r="B170" s="1" t="n">
        <v>45118</v>
      </c>
      <c r="C170" s="1" t="n">
        <v>45294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32011-2023</t>
        </is>
      </c>
      <c r="B171" s="1" t="n">
        <v>45119</v>
      </c>
      <c r="C171" s="1" t="n">
        <v>45294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32074-2023</t>
        </is>
      </c>
      <c r="B172" s="1" t="n">
        <v>45119</v>
      </c>
      <c r="C172" s="1" t="n">
        <v>45294</v>
      </c>
      <c r="D172" t="inlineStr">
        <is>
          <t>STOCKHOLMS LÄN</t>
        </is>
      </c>
      <c r="E172" t="inlineStr">
        <is>
          <t>NYNÄSHAMN</t>
        </is>
      </c>
      <c r="F172" t="inlineStr">
        <is>
          <t>Kommuner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32092-2023</t>
        </is>
      </c>
      <c r="B173" s="1" t="n">
        <v>45119</v>
      </c>
      <c r="C173" s="1" t="n">
        <v>45294</v>
      </c>
      <c r="D173" t="inlineStr">
        <is>
          <t>STOCKHOLMS LÄN</t>
        </is>
      </c>
      <c r="E173" t="inlineStr">
        <is>
          <t>NYNÄSHAMN</t>
        </is>
      </c>
      <c r="F173" t="inlineStr">
        <is>
          <t>Kommuner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32917-2023</t>
        </is>
      </c>
      <c r="B174" s="1" t="n">
        <v>45125</v>
      </c>
      <c r="C174" s="1" t="n">
        <v>45294</v>
      </c>
      <c r="D174" t="inlineStr">
        <is>
          <t>STOCKHOLMS LÄN</t>
        </is>
      </c>
      <c r="E174" t="inlineStr">
        <is>
          <t>NYNÄSHAMN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33529-2023</t>
        </is>
      </c>
      <c r="B175" s="1" t="n">
        <v>45131</v>
      </c>
      <c r="C175" s="1" t="n">
        <v>45294</v>
      </c>
      <c r="D175" t="inlineStr">
        <is>
          <t>STOCKHOLMS LÄN</t>
        </is>
      </c>
      <c r="E175" t="inlineStr">
        <is>
          <t>NYNÄSHAMN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34385-2023</t>
        </is>
      </c>
      <c r="B176" s="1" t="n">
        <v>45139</v>
      </c>
      <c r="C176" s="1" t="n">
        <v>45294</v>
      </c>
      <c r="D176" t="inlineStr">
        <is>
          <t>STOCKHOLMS LÄN</t>
        </is>
      </c>
      <c r="E176" t="inlineStr">
        <is>
          <t>NYNÄSHAMN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34660-2023</t>
        </is>
      </c>
      <c r="B177" s="1" t="n">
        <v>45140</v>
      </c>
      <c r="C177" s="1" t="n">
        <v>45294</v>
      </c>
      <c r="D177" t="inlineStr">
        <is>
          <t>STOCKHOLMS LÄN</t>
        </is>
      </c>
      <c r="E177" t="inlineStr">
        <is>
          <t>NYNÄSHAMN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35356-2023</t>
        </is>
      </c>
      <c r="B178" s="1" t="n">
        <v>45146</v>
      </c>
      <c r="C178" s="1" t="n">
        <v>45294</v>
      </c>
      <c r="D178" t="inlineStr">
        <is>
          <t>STOCKHOLMS LÄN</t>
        </is>
      </c>
      <c r="E178" t="inlineStr">
        <is>
          <t>NYNÄSHAMN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36056-2023</t>
        </is>
      </c>
      <c r="B179" s="1" t="n">
        <v>45149</v>
      </c>
      <c r="C179" s="1" t="n">
        <v>45294</v>
      </c>
      <c r="D179" t="inlineStr">
        <is>
          <t>STOCKHOLMS LÄN</t>
        </is>
      </c>
      <c r="E179" t="inlineStr">
        <is>
          <t>NYNÄSHAMN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36060-2023</t>
        </is>
      </c>
      <c r="B180" s="1" t="n">
        <v>45149</v>
      </c>
      <c r="C180" s="1" t="n">
        <v>45294</v>
      </c>
      <c r="D180" t="inlineStr">
        <is>
          <t>STOCKHOLMS LÄN</t>
        </is>
      </c>
      <c r="E180" t="inlineStr">
        <is>
          <t>NYNÄSHAMN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36052-2023</t>
        </is>
      </c>
      <c r="B181" s="1" t="n">
        <v>45149</v>
      </c>
      <c r="C181" s="1" t="n">
        <v>45294</v>
      </c>
      <c r="D181" t="inlineStr">
        <is>
          <t>STOCKHOLMS LÄN</t>
        </is>
      </c>
      <c r="E181" t="inlineStr">
        <is>
          <t>NYNÄSHAMN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41049-2023</t>
        </is>
      </c>
      <c r="B182" s="1" t="n">
        <v>45173</v>
      </c>
      <c r="C182" s="1" t="n">
        <v>45294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41673-2023</t>
        </is>
      </c>
      <c r="B183" s="1" t="n">
        <v>45173</v>
      </c>
      <c r="C183" s="1" t="n">
        <v>45294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41677-2023</t>
        </is>
      </c>
      <c r="B184" s="1" t="n">
        <v>45173</v>
      </c>
      <c r="C184" s="1" t="n">
        <v>45294</v>
      </c>
      <c r="D184" t="inlineStr">
        <is>
          <t>STOCKHOLMS LÄN</t>
        </is>
      </c>
      <c r="E184" t="inlineStr">
        <is>
          <t>NYNÄSHAMN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41680-2023</t>
        </is>
      </c>
      <c r="B185" s="1" t="n">
        <v>45173</v>
      </c>
      <c r="C185" s="1" t="n">
        <v>45294</v>
      </c>
      <c r="D185" t="inlineStr">
        <is>
          <t>STOCKHOLMS LÄN</t>
        </is>
      </c>
      <c r="E185" t="inlineStr">
        <is>
          <t>NYNÄSHAMN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43193-2023</t>
        </is>
      </c>
      <c r="B186" s="1" t="n">
        <v>45183</v>
      </c>
      <c r="C186" s="1" t="n">
        <v>45294</v>
      </c>
      <c r="D186" t="inlineStr">
        <is>
          <t>STOCKHOLMS LÄN</t>
        </is>
      </c>
      <c r="E186" t="inlineStr">
        <is>
          <t>NYNÄSHAMN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44624-2023</t>
        </is>
      </c>
      <c r="B187" s="1" t="n">
        <v>45184</v>
      </c>
      <c r="C187" s="1" t="n">
        <v>45294</v>
      </c>
      <c r="D187" t="inlineStr">
        <is>
          <t>STOCKHOLMS LÄN</t>
        </is>
      </c>
      <c r="E187" t="inlineStr">
        <is>
          <t>NYNÄSHAMN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44619-2023</t>
        </is>
      </c>
      <c r="B188" s="1" t="n">
        <v>45189</v>
      </c>
      <c r="C188" s="1" t="n">
        <v>45294</v>
      </c>
      <c r="D188" t="inlineStr">
        <is>
          <t>STOCKHOLMS LÄN</t>
        </is>
      </c>
      <c r="E188" t="inlineStr">
        <is>
          <t>NYNÄSHAMN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47098-2023</t>
        </is>
      </c>
      <c r="B189" s="1" t="n">
        <v>45196</v>
      </c>
      <c r="C189" s="1" t="n">
        <v>45294</v>
      </c>
      <c r="D189" t="inlineStr">
        <is>
          <t>STOCKHOLMS LÄN</t>
        </is>
      </c>
      <c r="E189" t="inlineStr">
        <is>
          <t>NYNÄSHAMN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47128-2023</t>
        </is>
      </c>
      <c r="B190" s="1" t="n">
        <v>45196</v>
      </c>
      <c r="C190" s="1" t="n">
        <v>45294</v>
      </c>
      <c r="D190" t="inlineStr">
        <is>
          <t>STOCKHOLMS LÄN</t>
        </is>
      </c>
      <c r="E190" t="inlineStr">
        <is>
          <t>NYNÄSHAMN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47013-2023</t>
        </is>
      </c>
      <c r="B191" s="1" t="n">
        <v>45196</v>
      </c>
      <c r="C191" s="1" t="n">
        <v>45294</v>
      </c>
      <c r="D191" t="inlineStr">
        <is>
          <t>STOCKHOLMS LÄN</t>
        </is>
      </c>
      <c r="E191" t="inlineStr">
        <is>
          <t>NYNÄSHAMN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47093-2023</t>
        </is>
      </c>
      <c r="B192" s="1" t="n">
        <v>45196</v>
      </c>
      <c r="C192" s="1" t="n">
        <v>45294</v>
      </c>
      <c r="D192" t="inlineStr">
        <is>
          <t>STOCKHOLMS LÄN</t>
        </is>
      </c>
      <c r="E192" t="inlineStr">
        <is>
          <t>NYNÄSHAMN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47115-2023</t>
        </is>
      </c>
      <c r="B193" s="1" t="n">
        <v>45196</v>
      </c>
      <c r="C193" s="1" t="n">
        <v>45294</v>
      </c>
      <c r="D193" t="inlineStr">
        <is>
          <t>STOCKHOLMS LÄN</t>
        </is>
      </c>
      <c r="E193" t="inlineStr">
        <is>
          <t>NYNÄSHAMN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47001-2023</t>
        </is>
      </c>
      <c r="B194" s="1" t="n">
        <v>45196</v>
      </c>
      <c r="C194" s="1" t="n">
        <v>45294</v>
      </c>
      <c r="D194" t="inlineStr">
        <is>
          <t>STOCKHOLMS LÄN</t>
        </is>
      </c>
      <c r="E194" t="inlineStr">
        <is>
          <t>NYNÄSHAMN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47089-2023</t>
        </is>
      </c>
      <c r="B195" s="1" t="n">
        <v>45196</v>
      </c>
      <c r="C195" s="1" t="n">
        <v>45294</v>
      </c>
      <c r="D195" t="inlineStr">
        <is>
          <t>STOCKHOLMS LÄN</t>
        </is>
      </c>
      <c r="E195" t="inlineStr">
        <is>
          <t>NYNÄSHAMN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48978-2023</t>
        </is>
      </c>
      <c r="B196" s="1" t="n">
        <v>45209</v>
      </c>
      <c r="C196" s="1" t="n">
        <v>45294</v>
      </c>
      <c r="D196" t="inlineStr">
        <is>
          <t>STOCKHOLMS LÄN</t>
        </is>
      </c>
      <c r="E196" t="inlineStr">
        <is>
          <t>NYNÄSHAMN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49253-2023</t>
        </is>
      </c>
      <c r="B197" s="1" t="n">
        <v>45210</v>
      </c>
      <c r="C197" s="1" t="n">
        <v>45294</v>
      </c>
      <c r="D197" t="inlineStr">
        <is>
          <t>STOCKHOLMS LÄN</t>
        </is>
      </c>
      <c r="E197" t="inlineStr">
        <is>
          <t>NYNÄSHAMN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49523-2023</t>
        </is>
      </c>
      <c r="B198" s="1" t="n">
        <v>45211</v>
      </c>
      <c r="C198" s="1" t="n">
        <v>45294</v>
      </c>
      <c r="D198" t="inlineStr">
        <is>
          <t>STOCKHOLMS LÄN</t>
        </is>
      </c>
      <c r="E198" t="inlineStr">
        <is>
          <t>NYNÄSHAMN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55871-2023</t>
        </is>
      </c>
      <c r="B199" s="1" t="n">
        <v>45239</v>
      </c>
      <c r="C199" s="1" t="n">
        <v>45294</v>
      </c>
      <c r="D199" t="inlineStr">
        <is>
          <t>STOCKHOLMS LÄN</t>
        </is>
      </c>
      <c r="E199" t="inlineStr">
        <is>
          <t>NYNÄSHAMN</t>
        </is>
      </c>
      <c r="F199" t="inlineStr">
        <is>
          <t>Kommuner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60050-2023</t>
        </is>
      </c>
      <c r="B200" s="1" t="n">
        <v>45257</v>
      </c>
      <c r="C200" s="1" t="n">
        <v>45294</v>
      </c>
      <c r="D200" t="inlineStr">
        <is>
          <t>STOCKHOLMS LÄN</t>
        </is>
      </c>
      <c r="E200" t="inlineStr">
        <is>
          <t>NYNÄSHAMN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60053-2023</t>
        </is>
      </c>
      <c r="B201" s="1" t="n">
        <v>45257</v>
      </c>
      <c r="C201" s="1" t="n">
        <v>45294</v>
      </c>
      <c r="D201" t="inlineStr">
        <is>
          <t>STOCKHOLMS LÄN</t>
        </is>
      </c>
      <c r="E201" t="inlineStr">
        <is>
          <t>NYNÄSHAMN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60627-2023</t>
        </is>
      </c>
      <c r="B202" s="1" t="n">
        <v>45259</v>
      </c>
      <c r="C202" s="1" t="n">
        <v>45294</v>
      </c>
      <c r="D202" t="inlineStr">
        <is>
          <t>STOCKHOLMS LÄN</t>
        </is>
      </c>
      <c r="E202" t="inlineStr">
        <is>
          <t>NYNÄSHAMN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62013-2023</t>
        </is>
      </c>
      <c r="B203" s="1" t="n">
        <v>45266</v>
      </c>
      <c r="C203" s="1" t="n">
        <v>45294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62038-2023</t>
        </is>
      </c>
      <c r="B204" s="1" t="n">
        <v>45266</v>
      </c>
      <c r="C204" s="1" t="n">
        <v>45294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62878-2023</t>
        </is>
      </c>
      <c r="B205" s="1" t="n">
        <v>45272</v>
      </c>
      <c r="C205" s="1" t="n">
        <v>45294</v>
      </c>
      <c r="D205" t="inlineStr">
        <is>
          <t>STOCKHOLMS LÄN</t>
        </is>
      </c>
      <c r="E205" t="inlineStr">
        <is>
          <t>NYNÄSHAMN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63463-2023</t>
        </is>
      </c>
      <c r="B206" s="1" t="n">
        <v>45274</v>
      </c>
      <c r="C206" s="1" t="n">
        <v>45294</v>
      </c>
      <c r="D206" t="inlineStr">
        <is>
          <t>STOCKHOLMS LÄN</t>
        </is>
      </c>
      <c r="E206" t="inlineStr">
        <is>
          <t>NYNÄSHAMN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64189-2023</t>
        </is>
      </c>
      <c r="B207" s="1" t="n">
        <v>45279</v>
      </c>
      <c r="C207" s="1" t="n">
        <v>45294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64196-2023</t>
        </is>
      </c>
      <c r="B208" s="1" t="n">
        <v>45279</v>
      </c>
      <c r="C208" s="1" t="n">
        <v>45294</v>
      </c>
      <c r="D208" t="inlineStr">
        <is>
          <t>STOCKHOLMS LÄN</t>
        </is>
      </c>
      <c r="E208" t="inlineStr">
        <is>
          <t>NYNÄSHAMN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64452-2023</t>
        </is>
      </c>
      <c r="B209" s="1" t="n">
        <v>45280</v>
      </c>
      <c r="C209" s="1" t="n">
        <v>45294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64451-2023</t>
        </is>
      </c>
      <c r="B210" s="1" t="n">
        <v>45280</v>
      </c>
      <c r="C210" s="1" t="n">
        <v>45294</v>
      </c>
      <c r="D210" t="inlineStr">
        <is>
          <t>STOCKHOLMS LÄN</t>
        </is>
      </c>
      <c r="E210" t="inlineStr">
        <is>
          <t>NYNÄSHAMN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64411-2023</t>
        </is>
      </c>
      <c r="B211" s="1" t="n">
        <v>45280</v>
      </c>
      <c r="C211" s="1" t="n">
        <v>45294</v>
      </c>
      <c r="D211" t="inlineStr">
        <is>
          <t>STOCKHOLMS LÄN</t>
        </is>
      </c>
      <c r="E211" t="inlineStr">
        <is>
          <t>NYNÄSHAMN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45294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64494-2023</t>
        </is>
      </c>
      <c r="B213" s="1" t="n">
        <v>45280</v>
      </c>
      <c r="C213" s="1" t="n">
        <v>45294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2024-01-03T10:01:15Z</dcterms:created>
  <dcterms:modified xmlns:dcterms="http://purl.org/dc/terms/" xmlns:xsi="http://www.w3.org/2001/XMLSchema-instance" xsi:type="dcterms:W3CDTF">2024-01-03T10:01:15Z</dcterms:modified>
</cp:coreProperties>
</file>