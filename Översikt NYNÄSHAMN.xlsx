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46307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46307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46307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46307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46307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46307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46307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46307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46307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46307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46307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46307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33528-2023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46307</v>
      </c>
      <c r="F20" t="inlineStr">
        <is>
          <t>STOCKHOLMS LÄN</t>
        </is>
      </c>
      <c r="G20" t="inlineStr">
        <is>
          <t>NYNÄSHAMN</t>
        </is>
      </c>
      <c r="I20" t="n">
        <v>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33528-2023 artfynd.xlsx", "A 33528-2023")</f>
        <v/>
      </c>
      <c r="X20">
        <f>HYPERLINK("https://klasma.github.io/Logging_0192/kartor/A 33528-2023 karta.png", "A 33528-2023")</f>
        <v/>
      </c>
      <c r="Y20">
        <f>HYPERLINK("https://klasma.github.io/Logging_0192/kartor_geotiff/A 33528-2023 georefererad karta.tif", "A 33528-2023")</f>
        <v/>
      </c>
      <c r="AA20">
        <f>HYPERLINK("https://klasma.github.io/Logging_0192/klagomål/A 33528-2023 FSC-klagomål.docx", "A 33528-2023")</f>
        <v/>
      </c>
      <c r="AB20">
        <f>HYPERLINK("https://klasma.github.io/Logging_0192/klagomålsmail/A 33528-2023 FSC-klagomål mail.docx", "A 33528-2023")</f>
        <v/>
      </c>
      <c r="AC20">
        <f>HYPERLINK("https://klasma.github.io/Logging_0192/tillsyn/A 33528-2023 tillsynsbegäran.docx", "A 33528-2023")</f>
        <v/>
      </c>
      <c r="AD20">
        <f>HYPERLINK("https://klasma.github.io/Logging_0192/tillsynsmail/A 33528-2023 tillsynsbegäran mail.docx", "A 33528-2023")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46307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8939-2023 artfynd.xlsx", "A 8939-2023")</f>
        <v/>
      </c>
      <c r="X21">
        <f>HYPERLINK("https://klasma.github.io/Logging_0192/kartor/A 8939-2023 karta.png", "A 8939-2023")</f>
        <v/>
      </c>
      <c r="Y21">
        <f>HYPERLINK("https://klasma.github.io/Logging_0192/kartor_geotiff/A 8939-2023 georefererad karta.tif", "A 8939-2023")</f>
        <v/>
      </c>
      <c r="AA21">
        <f>HYPERLINK("https://klasma.github.io/Logging_0192/klagomål/A 8939-2023 FSC-klagomål.docx", "A 8939-2023")</f>
        <v/>
      </c>
      <c r="AB21">
        <f>HYPERLINK("https://klasma.github.io/Logging_0192/klagomålsmail/A 8939-2023 FSC-klagomål mail.docx", "A 8939-2023")</f>
        <v/>
      </c>
      <c r="AC21">
        <f>HYPERLINK("https://klasma.github.io/Logging_0192/tillsyn/A 8939-2023 tillsynsbegäran.docx", "A 8939-2023")</f>
        <v/>
      </c>
      <c r="AD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46307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46307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46307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46307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46307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32074-2023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45119</v>
      </c>
      <c r="E27" s="1" t="n">
        <v>46307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13.1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Grå kantarell</t>
        </is>
      </c>
      <c r="W27">
        <f>HYPERLINK("https://klasma.github.io/Logging_0192/artfynd/A 32074-2023 artfynd.xlsx", "A 32074-2023")</f>
        <v/>
      </c>
      <c r="X27">
        <f>HYPERLINK("https://klasma.github.io/Logging_0192/kartor/A 32074-2023 karta.png", "A 32074-2023")</f>
        <v/>
      </c>
      <c r="Y27">
        <f>HYPERLINK("https://klasma.github.io/Logging_0192/kartor_geotiff/A 32074-2023 georefererad karta.tif", "A 32074-2023")</f>
        <v/>
      </c>
      <c r="AA27">
        <f>HYPERLINK("https://klasma.github.io/Logging_0192/klagomål/A 32074-2023 FSC-klagomål.docx", "A 32074-2023")</f>
        <v/>
      </c>
      <c r="AB27">
        <f>HYPERLINK("https://klasma.github.io/Logging_0192/klagomålsmail/A 32074-2023 FSC-klagomål mail.docx", "A 32074-2023")</f>
        <v/>
      </c>
      <c r="AC27">
        <f>HYPERLINK("https://klasma.github.io/Logging_0192/tillsyn/A 32074-2023 tillsynsbegäran.docx", "A 32074-2023")</f>
        <v/>
      </c>
      <c r="AD27">
        <f>HYPERLINK("https://klasma.github.io/Logging_0192/tillsynsmail/A 32074-2023 tillsynsbegäran mail.docx", "A 32074-2023")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46307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46307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46307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46307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46307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62634-2022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44917</v>
      </c>
      <c r="E33" s="1" t="n">
        <v>46307</v>
      </c>
      <c r="F33" t="inlineStr">
        <is>
          <t>STOCKHOLMS LÄN</t>
        </is>
      </c>
      <c r="G33" t="inlineStr">
        <is>
          <t>NYNÄSHAMN</t>
        </is>
      </c>
      <c r="I33" t="n">
        <v>15.8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padda</t>
        </is>
      </c>
      <c r="W33">
        <f>HYPERLINK("https://klasma.github.io/Logging_0192/artfynd/A 62634-2022 artfynd.xlsx", "A 62634-2022")</f>
        <v/>
      </c>
      <c r="X33">
        <f>HYPERLINK("https://klasma.github.io/Logging_0192/kartor/A 62634-2022 karta.png", "A 62634-2022")</f>
        <v/>
      </c>
      <c r="Y33">
        <f>HYPERLINK("https://klasma.github.io/Logging_0192/kartor_geotiff/A 62634-2022 georefererad karta.tif", "A 62634-2022")</f>
        <v/>
      </c>
      <c r="AA33">
        <f>HYPERLINK("https://klasma.github.io/Logging_0192/klagomål/A 62634-2022 FSC-klagomål.docx", "A 62634-2022")</f>
        <v/>
      </c>
      <c r="AB33">
        <f>HYPERLINK("https://klasma.github.io/Logging_0192/klagomålsmail/A 62634-2022 FSC-klagomål mail.docx", "A 62634-2022")</f>
        <v/>
      </c>
      <c r="AC33">
        <f>HYPERLINK("https://klasma.github.io/Logging_0192/tillsyn/A 62634-2022 tillsynsbegäran.docx", "A 62634-2022")</f>
        <v/>
      </c>
      <c r="AD33">
        <f>HYPERLINK("https://klasma.github.io/Logging_0192/tillsynsmail/A 62634-2022 tillsynsbegäran mail.docx", "A 62634-2022")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46307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46307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46307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46307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46307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73963-2021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46307</v>
      </c>
      <c r="F39" t="inlineStr">
        <is>
          <t>STOCKHOLMS LÄN</t>
        </is>
      </c>
      <c r="G39" t="inlineStr">
        <is>
          <t>NYNÄSHAMN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46307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46307</v>
      </c>
      <c r="F41" t="inlineStr">
        <is>
          <t>STOCKHOLMS LÄN</t>
        </is>
      </c>
      <c r="G41" t="inlineStr">
        <is>
          <t>NYNÄSHAMN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46307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46307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46307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46307</v>
      </c>
      <c r="F45" t="inlineStr">
        <is>
          <t>STOCKHOLMS LÄN</t>
        </is>
      </c>
      <c r="G45" t="inlineStr">
        <is>
          <t>NYNÄSHAMN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46307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35356-2023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46307</v>
      </c>
      <c r="F47" t="inlineStr">
        <is>
          <t>STOCKHOLMS LÄN</t>
        </is>
      </c>
      <c r="G47" t="inlineStr">
        <is>
          <t>NYNÄSHAMN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45140</v>
      </c>
      <c r="E48" s="1" t="n">
        <v>46307</v>
      </c>
      <c r="F48" t="inlineStr">
        <is>
          <t>STOCKHOLMS LÄN</t>
        </is>
      </c>
      <c r="G48" t="inlineStr">
        <is>
          <t>NYNÄSHAMN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46307</v>
      </c>
      <c r="F49" t="inlineStr">
        <is>
          <t>STOCKHOLMS LÄN</t>
        </is>
      </c>
      <c r="G49" t="inlineStr">
        <is>
          <t>NYNÄSHAMN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46307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46307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45028</v>
      </c>
      <c r="E52" s="1" t="n">
        <v>46307</v>
      </c>
      <c r="F52" t="inlineStr">
        <is>
          <t>STOCKHOLMS LÄN</t>
        </is>
      </c>
      <c r="G52" t="inlineStr">
        <is>
          <t>NYNÄSHAMN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46307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46307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45664</v>
      </c>
      <c r="E55" s="1" t="n">
        <v>46307</v>
      </c>
      <c r="F55" t="inlineStr">
        <is>
          <t>STOCKHOLMS LÄN</t>
        </is>
      </c>
      <c r="G55" t="inlineStr">
        <is>
          <t>NYNÄSHAMN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46307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46307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46307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46307</v>
      </c>
      <c r="F59" t="inlineStr">
        <is>
          <t>STOCKHOLMS LÄN</t>
        </is>
      </c>
      <c r="G59" t="inlineStr">
        <is>
          <t>NYNÄSHAMN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46307</v>
      </c>
      <c r="F60" t="inlineStr">
        <is>
          <t>STOCKHOLMS LÄN</t>
        </is>
      </c>
      <c r="G60" t="inlineStr">
        <is>
          <t>NYNÄSHAMN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44941</v>
      </c>
      <c r="E61" s="1" t="n">
        <v>46307</v>
      </c>
      <c r="F61" t="inlineStr">
        <is>
          <t>STOCKHOLMS LÄN</t>
        </is>
      </c>
      <c r="G61" t="inlineStr">
        <is>
          <t>NYNÄSHAMN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41767-2024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45561</v>
      </c>
      <c r="E62" s="1" t="n">
        <v>46307</v>
      </c>
      <c r="F62" t="inlineStr">
        <is>
          <t>STOCKHOLMS LÄN</t>
        </is>
      </c>
      <c r="G62" t="inlineStr">
        <is>
          <t>NYNÄSHAMN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46307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46307</v>
      </c>
      <c r="F64" t="inlineStr">
        <is>
          <t>STOCKHOLMS LÄN</t>
        </is>
      </c>
      <c r="G64" t="inlineStr">
        <is>
          <t>NYNÄSHAMN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46307</v>
      </c>
      <c r="F65" t="inlineStr">
        <is>
          <t>STOCKHOLMS LÄN</t>
        </is>
      </c>
      <c r="G65" t="inlineStr">
        <is>
          <t>NYNÄSHAMN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44574</v>
      </c>
      <c r="E66" s="1" t="n">
        <v>46307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46307</v>
      </c>
      <c r="F67" t="inlineStr">
        <is>
          <t>STOCKHOLMS LÄN</t>
        </is>
      </c>
      <c r="G67" t="inlineStr">
        <is>
          <t>NYNÄSHAMN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46307</v>
      </c>
      <c r="F68" t="inlineStr">
        <is>
          <t>STOCKHOLMS LÄN</t>
        </is>
      </c>
      <c r="G68" t="inlineStr">
        <is>
          <t>NYNÄSHAMN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46307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46307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46307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46307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46307</v>
      </c>
      <c r="F73" t="inlineStr">
        <is>
          <t>STOCKHOLMS LÄN</t>
        </is>
      </c>
      <c r="G73" t="inlineStr">
        <is>
          <t>NYNÄSHAMN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46307</v>
      </c>
      <c r="F74" t="inlineStr">
        <is>
          <t>STOCKHOLMS LÄN</t>
        </is>
      </c>
      <c r="G74" t="inlineStr">
        <is>
          <t>NYNÄSHAMN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45209</v>
      </c>
      <c r="E75" s="1" t="n">
        <v>46307</v>
      </c>
      <c r="F75" t="inlineStr">
        <is>
          <t>STOCKHOLMS LÄN</t>
        </is>
      </c>
      <c r="G75" t="inlineStr">
        <is>
          <t>NYNÄSHAMN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46307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46307</v>
      </c>
      <c r="F77" t="inlineStr">
        <is>
          <t>STOCKHOLMS LÄN</t>
        </is>
      </c>
      <c r="G77" t="inlineStr">
        <is>
          <t>NYNÄSHAMN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46307</v>
      </c>
      <c r="F78" t="inlineStr">
        <is>
          <t>STOCKHOLMS LÄN</t>
        </is>
      </c>
      <c r="G78" t="inlineStr">
        <is>
          <t>NYNÄSHAMN</t>
        </is>
      </c>
      <c r="H78" t="inlineStr">
        <is>
          <t>Övriga statliga verk och myndigheter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46307</v>
      </c>
      <c r="F79" t="inlineStr">
        <is>
          <t>STOCKHOLMS LÄN</t>
        </is>
      </c>
      <c r="G79" t="inlineStr">
        <is>
          <t>NYNÄSHAMN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45173</v>
      </c>
      <c r="E80" s="1" t="n">
        <v>46307</v>
      </c>
      <c r="F80" t="inlineStr">
        <is>
          <t>STOCKHOLMS LÄN</t>
        </is>
      </c>
      <c r="G80" t="inlineStr">
        <is>
          <t>NYNÄSHAMN</t>
        </is>
      </c>
      <c r="I80" t="n">
        <v>12.3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46307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46307</v>
      </c>
      <c r="F82" t="inlineStr">
        <is>
          <t>STOCKHOLMS LÄN</t>
        </is>
      </c>
      <c r="G82" t="inlineStr">
        <is>
          <t>NYNÄSHAMN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51954-2025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45952</v>
      </c>
      <c r="E83" s="1" t="n">
        <v>46307</v>
      </c>
      <c r="F83" t="inlineStr">
        <is>
          <t>STOCKHOLMS LÄN</t>
        </is>
      </c>
      <c r="G83" t="inlineStr">
        <is>
          <t>NYNÄSHAMN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46307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45457</v>
      </c>
      <c r="E85" s="1" t="n">
        <v>46307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46307</v>
      </c>
      <c r="F86" t="inlineStr">
        <is>
          <t>STOCKHOLMS LÄN</t>
        </is>
      </c>
      <c r="G86" t="inlineStr">
        <is>
          <t>NYNÄSHAMN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46307</v>
      </c>
      <c r="F87" t="inlineStr">
        <is>
          <t>STOCKHOLMS LÄN</t>
        </is>
      </c>
      <c r="G87" t="inlineStr">
        <is>
          <t>NYNÄSHAMN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46307</v>
      </c>
      <c r="F88" t="inlineStr">
        <is>
          <t>STOCKHOLMS LÄN</t>
        </is>
      </c>
      <c r="G88" t="inlineStr">
        <is>
          <t>NYNÄSHAMN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46307</v>
      </c>
      <c r="F89" t="inlineStr">
        <is>
          <t>STOCKHOLMS LÄN</t>
        </is>
      </c>
      <c r="G89" t="inlineStr">
        <is>
          <t>NYNÄSHAMN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46307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46307</v>
      </c>
      <c r="F91" t="inlineStr">
        <is>
          <t>STOCKHOLMS LÄN</t>
        </is>
      </c>
      <c r="G91" t="inlineStr">
        <is>
          <t>NYNÄSHAMN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46307</v>
      </c>
      <c r="F92" t="inlineStr">
        <is>
          <t>STOCKHOLMS LÄN</t>
        </is>
      </c>
      <c r="G92" t="inlineStr">
        <is>
          <t>NYNÄSHAMN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46307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45869</v>
      </c>
      <c r="E94" s="1" t="n">
        <v>46307</v>
      </c>
      <c r="F94" t="inlineStr">
        <is>
          <t>STOCKHOLMS LÄN</t>
        </is>
      </c>
      <c r="G94" t="inlineStr">
        <is>
          <t>NYNÄSHAMN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46307</v>
      </c>
      <c r="F95" t="inlineStr">
        <is>
          <t>STOCKHOLMS LÄN</t>
        </is>
      </c>
      <c r="G95" t="inlineStr">
        <is>
          <t>NYNÄSHAMN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46307</v>
      </c>
      <c r="F96" t="inlineStr">
        <is>
          <t>STOCKHOLMS LÄN</t>
        </is>
      </c>
      <c r="G96" t="inlineStr">
        <is>
          <t>NYNÄSHAMN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45344</v>
      </c>
      <c r="E97" s="1" t="n">
        <v>46307</v>
      </c>
      <c r="F97" t="inlineStr">
        <is>
          <t>STOCKHOLMS LÄN</t>
        </is>
      </c>
      <c r="G97" t="inlineStr">
        <is>
          <t>NYNÄSHAMN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46307</v>
      </c>
      <c r="F98" t="inlineStr">
        <is>
          <t>STOCKHOLMS LÄN</t>
        </is>
      </c>
      <c r="G98" t="inlineStr">
        <is>
          <t>NYNÄSHAMN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46307</v>
      </c>
      <c r="F99" t="inlineStr">
        <is>
          <t>STOCKHOLMS LÄN</t>
        </is>
      </c>
      <c r="G99" t="inlineStr">
        <is>
          <t>NYNÄSHAMN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46307</v>
      </c>
      <c r="F100" t="inlineStr">
        <is>
          <t>STOCKHOLMS LÄN</t>
        </is>
      </c>
      <c r="G100" t="inlineStr">
        <is>
          <t>NYNÄSHAMN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46307</v>
      </c>
      <c r="F101" t="inlineStr">
        <is>
          <t>STOCKHOLMS LÄN</t>
        </is>
      </c>
      <c r="G101" t="inlineStr">
        <is>
          <t>NYNÄSHAMN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45762</v>
      </c>
      <c r="E102" s="1" t="n">
        <v>46307</v>
      </c>
      <c r="F102" t="inlineStr">
        <is>
          <t>STOCKHOLMS LÄN</t>
        </is>
      </c>
      <c r="G102" t="inlineStr">
        <is>
          <t>NYNÄSHAMN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46307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46307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46307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60977-2022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44908</v>
      </c>
      <c r="E106" s="1" t="n">
        <v>46307</v>
      </c>
      <c r="F106" t="inlineStr">
        <is>
          <t>STOCKHOLMS LÄN</t>
        </is>
      </c>
      <c r="G106" t="inlineStr">
        <is>
          <t>NYNÄSHAMN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46307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46307</v>
      </c>
      <c r="F108" t="inlineStr">
        <is>
          <t>STOCKHOLMS LÄN</t>
        </is>
      </c>
      <c r="G108" t="inlineStr">
        <is>
          <t>NYNÄSHAMN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46052</v>
      </c>
      <c r="E109" s="1" t="n">
        <v>46307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46307</v>
      </c>
      <c r="F110" t="inlineStr">
        <is>
          <t>STOCKHOLMS LÄN</t>
        </is>
      </c>
      <c r="G110" t="inlineStr">
        <is>
          <t>NYNÄSHAMN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12032-2026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46085</v>
      </c>
      <c r="E111" s="1" t="n">
        <v>46307</v>
      </c>
      <c r="F111" t="inlineStr">
        <is>
          <t>STOCKHOLMS LÄN</t>
        </is>
      </c>
      <c r="G111" t="inlineStr">
        <is>
          <t>NYNÄSHAMN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46307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46307</v>
      </c>
      <c r="F113" t="inlineStr">
        <is>
          <t>STOCKHOLMS LÄN</t>
        </is>
      </c>
      <c r="G113" t="inlineStr">
        <is>
          <t>NYNÄSHAMN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46307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46307</v>
      </c>
      <c r="F115" t="inlineStr">
        <is>
          <t>STOCKHOLMS LÄN</t>
        </is>
      </c>
      <c r="G115" t="inlineStr">
        <is>
          <t>NYNÄSHAMN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46307</v>
      </c>
      <c r="F116" t="inlineStr">
        <is>
          <t>STOCKHOLMS LÄN</t>
        </is>
      </c>
      <c r="G116" t="inlineStr">
        <is>
          <t>NYNÄSHAMN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46307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46307</v>
      </c>
      <c r="F118" t="inlineStr">
        <is>
          <t>STOCKHOLMS LÄN</t>
        </is>
      </c>
      <c r="G118" t="inlineStr">
        <is>
          <t>NYNÄSHAMN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46307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46307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46307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2026-10-12T02:04:51Z</dcterms:created>
  <dcterms:modified xmlns:dcterms="http://purl.org/dc/terms/" xmlns:xsi="http://www.w3.org/2001/XMLSchema-instance" xsi:type="dcterms:W3CDTF">2026-10-12T02:04:51Z</dcterms:modified>
</cp:coreProperties>
</file>