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46316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46316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46316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46316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46316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46316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46316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46316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46316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46316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46316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46316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46316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46316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46316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46316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46316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12033-2026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46085</v>
      </c>
      <c r="E19" s="1" t="n">
        <v>46316</v>
      </c>
      <c r="F19" t="inlineStr">
        <is>
          <t>STOCKHOLMS LÄN</t>
        </is>
      </c>
      <c r="G19" t="inlineStr">
        <is>
          <t>NYNÄSHAMN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Fjällvråk
Havsörn</t>
        </is>
      </c>
      <c r="W19">
        <f>HYPERLINK("https://klasma.github.io/Logging_0192/artfynd/A 12033-2026 artfynd.xlsx", "A 12033-2026")</f>
        <v/>
      </c>
      <c r="X19">
        <f>HYPERLINK("https://klasma.github.io/Logging_0192/kartor/A 12033-2026 karta.png", "A 12033-2026")</f>
        <v/>
      </c>
      <c r="Y19">
        <f>HYPERLINK("https://klasma.github.io/Logging_0192/kartor_geotiff/A 12033-2026 georefererad karta.tif", "A 12033-2026")</f>
        <v/>
      </c>
      <c r="AA19">
        <f>HYPERLINK("https://klasma.github.io/Logging_0192/klagomål/A 12033-2026 FSC-klagomål.docx", "A 12033-2026")</f>
        <v/>
      </c>
      <c r="AB19">
        <f>HYPERLINK("https://klasma.github.io/Logging_0192/klagomålsmail/A 12033-2026 FSC-klagomål mail.docx", "A 12033-2026")</f>
        <v/>
      </c>
      <c r="AC19">
        <f>HYPERLINK("https://klasma.github.io/Logging_0192/tillsyn/A 12033-2026 tillsynsbegäran.docx", "A 12033-2026")</f>
        <v/>
      </c>
      <c r="AD19">
        <f>HYPERLINK("https://klasma.github.io/Logging_0192/tillsynsmail/A 12033-2026 tillsynsbegäran mail.docx", "A 12033-2026")</f>
        <v/>
      </c>
      <c r="AE19">
        <f>HYPERLINK("https://klasma.github.io/Logging_0192/fåglar/A 12033-2026 prioriterade fågelarter.docx", "A 12033-2026")</f>
        <v/>
      </c>
    </row>
    <row r="20" ht="15" customHeight="1">
      <c r="A20" t="inlineStr">
        <is>
          <t>A 1561-2023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44937</v>
      </c>
      <c r="E20" s="1" t="n">
        <v>46316</v>
      </c>
      <c r="F20" t="inlineStr">
        <is>
          <t>STOCKHOLMS LÄN</t>
        </is>
      </c>
      <c r="G20" t="inlineStr">
        <is>
          <t>NYNÄSHAMN</t>
        </is>
      </c>
      <c r="I20" t="n">
        <v>1.3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5</v>
      </c>
      <c r="U20" t="n">
        <v>5</v>
      </c>
      <c r="V20" s="2" t="inlineStr">
        <is>
          <t>Tallticka
Blåsippa</t>
        </is>
      </c>
      <c r="W20">
        <f>HYPERLINK("https://klasma.github.io/Logging_0192/artfynd/A 1561-2023 artfynd.xlsx", "A 1561-2023")</f>
        <v/>
      </c>
      <c r="X20">
        <f>HYPERLINK("https://klasma.github.io/Logging_0192/kartor/A 1561-2023 karta.png", "A 1561-2023")</f>
        <v/>
      </c>
      <c r="Y20">
        <f>HYPERLINK("https://klasma.github.io/Logging_0192/kartor_geotiff/A 1561-2023 georefererad karta.tif", "A 1561-2023")</f>
        <v/>
      </c>
      <c r="AA20">
        <f>HYPERLINK("https://klasma.github.io/Logging_0192/klagomål/A 1561-2023 FSC-klagomål.docx", "A 1561-2023")</f>
        <v/>
      </c>
      <c r="AB20">
        <f>HYPERLINK("https://klasma.github.io/Logging_0192/klagomålsmail/A 1561-2023 FSC-klagomål mail.docx", "A 1561-2023")</f>
        <v/>
      </c>
      <c r="AC20">
        <f>HYPERLINK("https://klasma.github.io/Logging_0192/tillsyn/A 1561-2023 tillsynsbegäran.docx", "A 1561-2023")</f>
        <v/>
      </c>
      <c r="AD20">
        <f>HYPERLINK("https://klasma.github.io/Logging_0192/tillsynsmail/A 1561-2023 tillsynsbegäran mail.docx", "A 1561-2023")</f>
        <v/>
      </c>
    </row>
    <row r="21" ht="15" customHeight="1">
      <c r="A21" t="inlineStr">
        <is>
          <t>A 10059-2022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44621</v>
      </c>
      <c r="E21" s="1" t="n">
        <v>46316</v>
      </c>
      <c r="F21" t="inlineStr">
        <is>
          <t>STOCKHOLMS LÄN</t>
        </is>
      </c>
      <c r="G21" t="inlineStr">
        <is>
          <t>NYNÄSHAMN</t>
        </is>
      </c>
      <c r="I21" t="n">
        <v>17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Bolmört
Bollvitmossa</t>
        </is>
      </c>
      <c r="W21">
        <f>HYPERLINK("https://klasma.github.io/Logging_0192/artfynd/A 10059-2022 artfynd.xlsx", "A 10059-2022")</f>
        <v/>
      </c>
      <c r="X21">
        <f>HYPERLINK("https://klasma.github.io/Logging_0192/kartor/A 10059-2022 karta.png", "A 10059-2022")</f>
        <v/>
      </c>
      <c r="Y21">
        <f>HYPERLINK("https://klasma.github.io/Logging_0192/kartor_geotiff/A 10059-2022 georefererad karta.tif", "A 10059-2022")</f>
        <v/>
      </c>
      <c r="AA21">
        <f>HYPERLINK("https://klasma.github.io/Logging_0192/klagomål/A 10059-2022 FSC-klagomål.docx", "A 10059-2022")</f>
        <v/>
      </c>
      <c r="AB21">
        <f>HYPERLINK("https://klasma.github.io/Logging_0192/klagomålsmail/A 10059-2022 FSC-klagomål mail.docx", "A 10059-2022")</f>
        <v/>
      </c>
      <c r="AC21">
        <f>HYPERLINK("https://klasma.github.io/Logging_0192/tillsyn/A 10059-2022 tillsynsbegäran.docx", "A 10059-2022")</f>
        <v/>
      </c>
      <c r="AD21">
        <f>HYPERLINK("https://klasma.github.io/Logging_0192/tillsynsmail/A 10059-2022 tillsynsbegäran mail.docx", "A 10059-2022")</f>
        <v/>
      </c>
    </row>
    <row r="22" ht="15" customHeight="1">
      <c r="A22" t="inlineStr">
        <is>
          <t>A 33528-2023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45131</v>
      </c>
      <c r="E22" s="1" t="n">
        <v>46316</v>
      </c>
      <c r="F22" t="inlineStr">
        <is>
          <t>STOCKHOLMS LÄN</t>
        </is>
      </c>
      <c r="G22" t="inlineStr">
        <is>
          <t>NYNÄSHAMN</t>
        </is>
      </c>
      <c r="I22" t="n">
        <v>4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Gullpudra
Strutbräken</t>
        </is>
      </c>
      <c r="W22">
        <f>HYPERLINK("https://klasma.github.io/Logging_0192/artfynd/A 33528-2023 artfynd.xlsx", "A 33528-2023")</f>
        <v/>
      </c>
      <c r="X22">
        <f>HYPERLINK("https://klasma.github.io/Logging_0192/kartor/A 33528-2023 karta.png", "A 33528-2023")</f>
        <v/>
      </c>
      <c r="Y22">
        <f>HYPERLINK("https://klasma.github.io/Logging_0192/kartor_geotiff/A 33528-2023 georefererad karta.tif", "A 33528-2023")</f>
        <v/>
      </c>
      <c r="AA22">
        <f>HYPERLINK("https://klasma.github.io/Logging_0192/klagomål/A 33528-2023 FSC-klagomål.docx", "A 33528-2023")</f>
        <v/>
      </c>
      <c r="AB22">
        <f>HYPERLINK("https://klasma.github.io/Logging_0192/klagomålsmail/A 33528-2023 FSC-klagomål mail.docx", "A 33528-2023")</f>
        <v/>
      </c>
      <c r="AC22">
        <f>HYPERLINK("https://klasma.github.io/Logging_0192/tillsyn/A 33528-2023 tillsynsbegäran.docx", "A 33528-2023")</f>
        <v/>
      </c>
      <c r="AD22">
        <f>HYPERLINK("https://klasma.github.io/Logging_0192/tillsynsmail/A 33528-2023 tillsynsbegäran mail.docx", "A 33528-2023")</f>
        <v/>
      </c>
    </row>
    <row r="23" ht="15" customHeight="1">
      <c r="A23" t="inlineStr">
        <is>
          <t>A 49523-2023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45211</v>
      </c>
      <c r="E23" s="1" t="n">
        <v>46316</v>
      </c>
      <c r="F23" t="inlineStr">
        <is>
          <t>STOCKHOLMS LÄN</t>
        </is>
      </c>
      <c r="G23" t="inlineStr">
        <is>
          <t>NYNÄSHAMN</t>
        </is>
      </c>
      <c r="I23" t="n">
        <v>2.2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Grönpyrola
Västlig hakmossa</t>
        </is>
      </c>
      <c r="W23">
        <f>HYPERLINK("https://klasma.github.io/Logging_0192/artfynd/A 49523-2023 artfynd.xlsx", "A 49523-2023")</f>
        <v/>
      </c>
      <c r="X23">
        <f>HYPERLINK("https://klasma.github.io/Logging_0192/kartor/A 49523-2023 karta.png", "A 49523-2023")</f>
        <v/>
      </c>
      <c r="Y23">
        <f>HYPERLINK("https://klasma.github.io/Logging_0192/kartor_geotiff/A 49523-2023 georefererad karta.tif", "A 49523-2023")</f>
        <v/>
      </c>
      <c r="AA23">
        <f>HYPERLINK("https://klasma.github.io/Logging_0192/klagomål/A 49523-2023 FSC-klagomål.docx", "A 49523-2023")</f>
        <v/>
      </c>
      <c r="AB23">
        <f>HYPERLINK("https://klasma.github.io/Logging_0192/klagomålsmail/A 49523-2023 FSC-klagomål mail.docx", "A 49523-2023")</f>
        <v/>
      </c>
      <c r="AC23">
        <f>HYPERLINK("https://klasma.github.io/Logging_0192/tillsyn/A 49523-2023 tillsynsbegäran.docx", "A 49523-2023")</f>
        <v/>
      </c>
      <c r="AD23">
        <f>HYPERLINK("https://klasma.github.io/Logging_0192/tillsynsmail/A 49523-2023 tillsynsbegäran mail.docx", "A 49523-2023")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46316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Sårläka
Blåsippa</t>
        </is>
      </c>
      <c r="W24">
        <f>HYPERLINK("https://klasma.github.io/Logging_0192/artfynd/A 5567-2023 artfynd.xlsx", "A 5567-2023")</f>
        <v/>
      </c>
      <c r="X24">
        <f>HYPERLINK("https://klasma.github.io/Logging_0192/kartor/A 5567-2023 karta.png", "A 5567-2023")</f>
        <v/>
      </c>
      <c r="Y24">
        <f>HYPERLINK("https://klasma.github.io/Logging_0192/kartor_geotiff/A 5567-2023 georefererad karta.tif", "A 5567-2023")</f>
        <v/>
      </c>
      <c r="AA24">
        <f>HYPERLINK("https://klasma.github.io/Logging_0192/klagomål/A 5567-2023 FSC-klagomål.docx", "A 5567-2023")</f>
        <v/>
      </c>
      <c r="AB24">
        <f>HYPERLINK("https://klasma.github.io/Logging_0192/klagomålsmail/A 5567-2023 FSC-klagomål mail.docx", "A 5567-2023")</f>
        <v/>
      </c>
      <c r="AC24">
        <f>HYPERLINK("https://klasma.github.io/Logging_0192/tillsyn/A 5567-2023 tillsynsbegäran.docx", "A 5567-2023")</f>
        <v/>
      </c>
      <c r="AD24">
        <f>HYPERLINK("https://klasma.github.io/Logging_0192/tillsynsmail/A 5567-2023 tillsynsbegäran mail.docx", "A 5567-2023")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46316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46316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46316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46316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46316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46316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46316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46316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46316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46316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46316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23906-2026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46316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7.9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 sköldmossa</t>
        </is>
      </c>
      <c r="W36">
        <f>HYPERLINK("https://klasma.github.io/Logging_0192/artfynd/A 23906-2026 artfynd.xlsx", "A 23906-2026")</f>
        <v/>
      </c>
      <c r="X36">
        <f>HYPERLINK("https://klasma.github.io/Logging_0192/kartor/A 23906-2026 karta.png", "A 23906-2026")</f>
        <v/>
      </c>
      <c r="Y36">
        <f>HYPERLINK("https://klasma.github.io/Logging_0192/kartor_geotiff/A 23906-2026 georefererad karta.tif", "A 23906-2026")</f>
        <v/>
      </c>
      <c r="AA36">
        <f>HYPERLINK("https://klasma.github.io/Logging_0192/klagomål/A 23906-2026 FSC-klagomål.docx", "A 23906-2026")</f>
        <v/>
      </c>
      <c r="AB36">
        <f>HYPERLINK("https://klasma.github.io/Logging_0192/klagomålsmail/A 23906-2026 FSC-klagomål mail.docx", "A 23906-2026")</f>
        <v/>
      </c>
      <c r="AC36">
        <f>HYPERLINK("https://klasma.github.io/Logging_0192/tillsyn/A 23906-2026 tillsynsbegäran.docx", "A 23906-2026")</f>
        <v/>
      </c>
      <c r="AD36">
        <f>HYPERLINK("https://klasma.github.io/Logging_0192/tillsynsmail/A 23906-2026 tillsynsbegäran mail.docx", "A 23906-2026")</f>
        <v/>
      </c>
    </row>
    <row r="37" ht="15" customHeight="1">
      <c r="A37" t="inlineStr">
        <is>
          <t>A 6435-2023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44965</v>
      </c>
      <c r="E37" s="1" t="n">
        <v>46316</v>
      </c>
      <c r="F37" t="inlineStr">
        <is>
          <t>STOCKHOLMS LÄN</t>
        </is>
      </c>
      <c r="G37" t="inlineStr">
        <is>
          <t>NYNÄSHAMN</t>
        </is>
      </c>
      <c r="I37" t="n">
        <v>1.8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Tallticka</t>
        </is>
      </c>
      <c r="W37">
        <f>HYPERLINK("https://klasma.github.io/Logging_0192/artfynd/A 6435-2023 artfynd.xlsx", "A 6435-2023")</f>
        <v/>
      </c>
      <c r="X37">
        <f>HYPERLINK("https://klasma.github.io/Logging_0192/kartor/A 6435-2023 karta.png", "A 6435-2023")</f>
        <v/>
      </c>
      <c r="Y37">
        <f>HYPERLINK("https://klasma.github.io/Logging_0192/kartor_geotiff/A 6435-2023 georefererad karta.tif", "A 6435-2023")</f>
        <v/>
      </c>
      <c r="AA37">
        <f>HYPERLINK("https://klasma.github.io/Logging_0192/klagomål/A 6435-2023 FSC-klagomål.docx", "A 6435-2023")</f>
        <v/>
      </c>
      <c r="AB37">
        <f>HYPERLINK("https://klasma.github.io/Logging_0192/klagomålsmail/A 6435-2023 FSC-klagomål mail.docx", "A 6435-2023")</f>
        <v/>
      </c>
      <c r="AC37">
        <f>HYPERLINK("https://klasma.github.io/Logging_0192/tillsyn/A 6435-2023 tillsynsbegäran.docx", "A 6435-2023")</f>
        <v/>
      </c>
      <c r="AD37">
        <f>HYPERLINK("https://klasma.github.io/Logging_0192/tillsynsmail/A 6435-2023 tillsynsbegäran mail.docx", "A 6435-2023")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46316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46316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46316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46316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46316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46316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46316</v>
      </c>
      <c r="F44" t="inlineStr">
        <is>
          <t>STOCKHOLMS LÄN</t>
        </is>
      </c>
      <c r="G44" t="inlineStr">
        <is>
          <t>NYNÄSHAMN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45747</v>
      </c>
      <c r="E45" s="1" t="n">
        <v>46316</v>
      </c>
      <c r="F45" t="inlineStr">
        <is>
          <t>STOCKHOLMS LÄN</t>
        </is>
      </c>
      <c r="G45" t="inlineStr">
        <is>
          <t>NYNÄSHAMN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24288-2024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45457</v>
      </c>
      <c r="E46" s="1" t="n">
        <v>46316</v>
      </c>
      <c r="F46" t="inlineStr">
        <is>
          <t>STOCKHOLMS LÄN</t>
        </is>
      </c>
      <c r="G46" t="inlineStr">
        <is>
          <t>NYNÄSHAMN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26190-2022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44735</v>
      </c>
      <c r="E47" s="1" t="n">
        <v>46316</v>
      </c>
      <c r="F47" t="inlineStr">
        <is>
          <t>STOCKHOLMS LÄN</t>
        </is>
      </c>
      <c r="G47" t="inlineStr">
        <is>
          <t>NYNÄSHAMN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7180-2024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45344</v>
      </c>
      <c r="E48" s="1" t="n">
        <v>46316</v>
      </c>
      <c r="F48" t="inlineStr">
        <is>
          <t>STOCKHOLMS LÄN</t>
        </is>
      </c>
      <c r="G48" t="inlineStr">
        <is>
          <t>NYNÄSHAMN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8932-2023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44979</v>
      </c>
      <c r="E49" s="1" t="n">
        <v>46316</v>
      </c>
      <c r="F49" t="inlineStr">
        <is>
          <t>STOCKHOLMS LÄN</t>
        </is>
      </c>
      <c r="G49" t="inlineStr">
        <is>
          <t>NYNÄSHAMN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1658-2022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44574</v>
      </c>
      <c r="E50" s="1" t="n">
        <v>46316</v>
      </c>
      <c r="F50" t="inlineStr">
        <is>
          <t>STOCKHOLMS LÄN</t>
        </is>
      </c>
      <c r="G50" t="inlineStr">
        <is>
          <t>NYNÄSHAMN</t>
        </is>
      </c>
      <c r="H50" t="inlineStr">
        <is>
          <t>Kommuner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2367-2023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44942</v>
      </c>
      <c r="E51" s="1" t="n">
        <v>46316</v>
      </c>
      <c r="F51" t="inlineStr">
        <is>
          <t>STOCKHOLMS LÄN</t>
        </is>
      </c>
      <c r="G51" t="inlineStr">
        <is>
          <t>NYNÄSHAMN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37491-2022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44809</v>
      </c>
      <c r="E52" s="1" t="n">
        <v>46316</v>
      </c>
      <c r="F52" t="inlineStr">
        <is>
          <t>STOCKHOLMS LÄN</t>
        </is>
      </c>
      <c r="G52" t="inlineStr">
        <is>
          <t>NYNÄSHAMN</t>
        </is>
      </c>
      <c r="I52" t="n">
        <v>4.3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29811-2025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45825</v>
      </c>
      <c r="E53" s="1" t="n">
        <v>46316</v>
      </c>
      <c r="F53" t="inlineStr">
        <is>
          <t>STOCKHOLMS LÄN</t>
        </is>
      </c>
      <c r="G53" t="inlineStr">
        <is>
          <t>NYNÄSHAMN</t>
        </is>
      </c>
      <c r="H53" t="inlineStr">
        <is>
          <t>Övriga statliga verk och myndigheter</t>
        </is>
      </c>
      <c r="I53" t="n">
        <v>4.7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46052</v>
      </c>
      <c r="E54" s="1" t="n">
        <v>46316</v>
      </c>
      <c r="F54" t="inlineStr">
        <is>
          <t>STOCKHOLMS LÄN</t>
        </is>
      </c>
      <c r="G54" t="inlineStr">
        <is>
          <t>NYNÄSHAMN</t>
        </is>
      </c>
      <c r="H54" t="inlineStr">
        <is>
          <t>Kyrkan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26501-2024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46316</v>
      </c>
      <c r="F55" t="inlineStr">
        <is>
          <t>STOCKHOLMS LÄN</t>
        </is>
      </c>
      <c r="G55" t="inlineStr">
        <is>
          <t>NYNÄSHAMN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46857-2025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45928</v>
      </c>
      <c r="E56" s="1" t="n">
        <v>46316</v>
      </c>
      <c r="F56" t="inlineStr">
        <is>
          <t>STOCKHOLMS LÄN</t>
        </is>
      </c>
      <c r="G56" t="inlineStr">
        <is>
          <t>NYNÄSHAMN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9020-2023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44979</v>
      </c>
      <c r="E57" s="1" t="n">
        <v>46316</v>
      </c>
      <c r="F57" t="inlineStr">
        <is>
          <t>STOCKHOLMS LÄN</t>
        </is>
      </c>
      <c r="G57" t="inlineStr">
        <is>
          <t>NYNÄSHAMN</t>
        </is>
      </c>
      <c r="H57" t="inlineStr">
        <is>
          <t>Kommuner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45935</v>
      </c>
      <c r="E58" s="1" t="n">
        <v>46316</v>
      </c>
      <c r="F58" t="inlineStr">
        <is>
          <t>STOCKHOLMS LÄN</t>
        </is>
      </c>
      <c r="G58" t="inlineStr">
        <is>
          <t>NYNÄSHAMN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51954-2025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45952</v>
      </c>
      <c r="E59" s="1" t="n">
        <v>46316</v>
      </c>
      <c r="F59" t="inlineStr">
        <is>
          <t>STOCKHOLMS LÄN</t>
        </is>
      </c>
      <c r="G59" t="inlineStr">
        <is>
          <t>NYNÄSHAMN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63931-2021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46316</v>
      </c>
      <c r="F60" t="inlineStr">
        <is>
          <t>STOCKHOLMS LÄN</t>
        </is>
      </c>
      <c r="G60" t="inlineStr">
        <is>
          <t>NYNÄSHAMN</t>
        </is>
      </c>
      <c r="H60" t="inlineStr">
        <is>
          <t>Kommuner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62038-2023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45266</v>
      </c>
      <c r="E61" s="1" t="n">
        <v>46316</v>
      </c>
      <c r="F61" t="inlineStr">
        <is>
          <t>STOCKHOLMS LÄN</t>
        </is>
      </c>
      <c r="G61" t="inlineStr">
        <is>
          <t>NYNÄSHAMN</t>
        </is>
      </c>
      <c r="I61" t="n">
        <v>5.6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47128-2023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45196</v>
      </c>
      <c r="E62" s="1" t="n">
        <v>46316</v>
      </c>
      <c r="F62" t="inlineStr">
        <is>
          <t>STOCKHOLMS LÄN</t>
        </is>
      </c>
      <c r="G62" t="inlineStr">
        <is>
          <t>NYNÄSHAMN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56210-2025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45974</v>
      </c>
      <c r="E63" s="1" t="n">
        <v>46316</v>
      </c>
      <c r="F63" t="inlineStr">
        <is>
          <t>STOCKHOLMS LÄN</t>
        </is>
      </c>
      <c r="G63" t="inlineStr">
        <is>
          <t>NYNÄSHAMN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56385-2025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45974</v>
      </c>
      <c r="E64" s="1" t="n">
        <v>46316</v>
      </c>
      <c r="F64" t="inlineStr">
        <is>
          <t>STOCKHOLMS LÄN</t>
        </is>
      </c>
      <c r="G64" t="inlineStr">
        <is>
          <t>NYNÄSHAMN</t>
        </is>
      </c>
      <c r="I64" t="n">
        <v>6.1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52953-2024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46316</v>
      </c>
      <c r="F65" t="inlineStr">
        <is>
          <t>STOCKHOLMS LÄN</t>
        </is>
      </c>
      <c r="G65" t="inlineStr">
        <is>
          <t>NYNÄSHAMN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13945-2025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45737</v>
      </c>
      <c r="E66" s="1" t="n">
        <v>46316</v>
      </c>
      <c r="F66" t="inlineStr">
        <is>
          <t>STOCKHOLMS LÄN</t>
        </is>
      </c>
      <c r="G66" t="inlineStr">
        <is>
          <t>NYNÄSHAMN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18411-2025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45762</v>
      </c>
      <c r="E67" s="1" t="n">
        <v>46316</v>
      </c>
      <c r="F67" t="inlineStr">
        <is>
          <t>STOCKHOLMS LÄN</t>
        </is>
      </c>
      <c r="G67" t="inlineStr">
        <is>
          <t>NYNÄSHAMN</t>
        </is>
      </c>
      <c r="I67" t="n">
        <v>11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45149</v>
      </c>
      <c r="E68" s="1" t="n">
        <v>46316</v>
      </c>
      <c r="F68" t="inlineStr">
        <is>
          <t>STOCKHOLMS LÄN</t>
        </is>
      </c>
      <c r="G68" t="inlineStr">
        <is>
          <t>NYNÄSHAMN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15176-2024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45400</v>
      </c>
      <c r="E69" s="1" t="n">
        <v>46316</v>
      </c>
      <c r="F69" t="inlineStr">
        <is>
          <t>STOCKHOLMS LÄN</t>
        </is>
      </c>
      <c r="G69" t="inlineStr">
        <is>
          <t>NYNÄSHAMN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60977-2022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44908</v>
      </c>
      <c r="E70" s="1" t="n">
        <v>46316</v>
      </c>
      <c r="F70" t="inlineStr">
        <is>
          <t>STOCKHOLMS LÄN</t>
        </is>
      </c>
      <c r="G70" t="inlineStr">
        <is>
          <t>NYNÄSHAMN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36496-2025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45869</v>
      </c>
      <c r="E71" s="1" t="n">
        <v>46316</v>
      </c>
      <c r="F71" t="inlineStr">
        <is>
          <t>STOCKHOLMS LÄN</t>
        </is>
      </c>
      <c r="G71" t="inlineStr">
        <is>
          <t>NYNÄSHAMN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36468-2025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45869</v>
      </c>
      <c r="E72" s="1" t="n">
        <v>46316</v>
      </c>
      <c r="F72" t="inlineStr">
        <is>
          <t>STOCKHOLMS LÄN</t>
        </is>
      </c>
      <c r="G72" t="inlineStr">
        <is>
          <t>NYNÄSHAMN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46316</v>
      </c>
      <c r="F73" t="inlineStr">
        <is>
          <t>STOCKHOLMS LÄN</t>
        </is>
      </c>
      <c r="G73" t="inlineStr">
        <is>
          <t>NYNÄSHAMN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52950-2024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45610</v>
      </c>
      <c r="E74" s="1" t="n">
        <v>46316</v>
      </c>
      <c r="F74" t="inlineStr">
        <is>
          <t>STOCKHOLMS LÄN</t>
        </is>
      </c>
      <c r="G74" t="inlineStr">
        <is>
          <t>NYNÄSHAMN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17990-2024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45419</v>
      </c>
      <c r="E75" s="1" t="n">
        <v>46316</v>
      </c>
      <c r="F75" t="inlineStr">
        <is>
          <t>STOCKHOLMS LÄN</t>
        </is>
      </c>
      <c r="G75" t="inlineStr">
        <is>
          <t>NYNÄSHAMN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64411-2023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45280</v>
      </c>
      <c r="E76" s="1" t="n">
        <v>46316</v>
      </c>
      <c r="F76" t="inlineStr">
        <is>
          <t>STOCKHOLMS LÄN</t>
        </is>
      </c>
      <c r="G76" t="inlineStr">
        <is>
          <t>NYNÄSHAMN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41677-2023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45173</v>
      </c>
      <c r="E77" s="1" t="n">
        <v>46316</v>
      </c>
      <c r="F77" t="inlineStr">
        <is>
          <t>STOCKHOLMS LÄN</t>
        </is>
      </c>
      <c r="G77" t="inlineStr">
        <is>
          <t>NYNÄSHAMN</t>
        </is>
      </c>
      <c r="I77" t="n">
        <v>6.2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41680-2023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45173</v>
      </c>
      <c r="E78" s="1" t="n">
        <v>46316</v>
      </c>
      <c r="F78" t="inlineStr">
        <is>
          <t>STOCKHOLMS LÄN</t>
        </is>
      </c>
      <c r="G78" t="inlineStr">
        <is>
          <t>NYNÄSHAMN</t>
        </is>
      </c>
      <c r="I78" t="n">
        <v>12.3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24595-2026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46170</v>
      </c>
      <c r="E79" s="1" t="n">
        <v>46316</v>
      </c>
      <c r="F79" t="inlineStr">
        <is>
          <t>STOCKHOLMS LÄN</t>
        </is>
      </c>
      <c r="G79" t="inlineStr">
        <is>
          <t>NYNÄSHAMN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2170-2023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44941</v>
      </c>
      <c r="E80" s="1" t="n">
        <v>46316</v>
      </c>
      <c r="F80" t="inlineStr">
        <is>
          <t>STOCKHOLMS LÄN</t>
        </is>
      </c>
      <c r="G80" t="inlineStr">
        <is>
          <t>NYNÄSHAMN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21192-2023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45062</v>
      </c>
      <c r="E81" s="1" t="n">
        <v>46316</v>
      </c>
      <c r="F81" t="inlineStr">
        <is>
          <t>STOCKHOLMS LÄN</t>
        </is>
      </c>
      <c r="G81" t="inlineStr">
        <is>
          <t>NYNÄSHAMN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9062-2023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44979</v>
      </c>
      <c r="E82" s="1" t="n">
        <v>46316</v>
      </c>
      <c r="F82" t="inlineStr">
        <is>
          <t>STOCKHOLMS LÄN</t>
        </is>
      </c>
      <c r="G82" t="inlineStr">
        <is>
          <t>NYNÄSHAMN</t>
        </is>
      </c>
      <c r="H82" t="inlineStr">
        <is>
          <t>Kommuner</t>
        </is>
      </c>
      <c r="I82" t="n">
        <v>3.4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25175-2023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45086</v>
      </c>
      <c r="E83" s="1" t="n">
        <v>46316</v>
      </c>
      <c r="F83" t="inlineStr">
        <is>
          <t>STOCKHOLMS LÄN</t>
        </is>
      </c>
      <c r="G83" t="inlineStr">
        <is>
          <t>NYNÄSHAMN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63463-2023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45274</v>
      </c>
      <c r="E84" s="1" t="n">
        <v>46316</v>
      </c>
      <c r="F84" t="inlineStr">
        <is>
          <t>STOCKHOLMS LÄN</t>
        </is>
      </c>
      <c r="G84" t="inlineStr">
        <is>
          <t>NYNÄSHAMN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33667-2022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44789</v>
      </c>
      <c r="E85" s="1" t="n">
        <v>46316</v>
      </c>
      <c r="F85" t="inlineStr">
        <is>
          <t>STOCKHOLMS LÄN</t>
        </is>
      </c>
      <c r="G85" t="inlineStr">
        <is>
          <t>NYNÄSHAMN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4688-2023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44957</v>
      </c>
      <c r="E86" s="1" t="n">
        <v>46316</v>
      </c>
      <c r="F86" t="inlineStr">
        <is>
          <t>STOCKHOLMS LÄN</t>
        </is>
      </c>
      <c r="G86" t="inlineStr">
        <is>
          <t>NYNÄSHAMN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62878-2023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45272</v>
      </c>
      <c r="E87" s="1" t="n">
        <v>46316</v>
      </c>
      <c r="F87" t="inlineStr">
        <is>
          <t>STOCKHOLMS LÄN</t>
        </is>
      </c>
      <c r="G87" t="inlineStr">
        <is>
          <t>NYNÄSHAMN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12032-2026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46085</v>
      </c>
      <c r="E88" s="1" t="n">
        <v>46316</v>
      </c>
      <c r="F88" t="inlineStr">
        <is>
          <t>STOCKHOLMS LÄN</t>
        </is>
      </c>
      <c r="G88" t="inlineStr">
        <is>
          <t>NYNÄSHAMN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30476-2026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46210</v>
      </c>
      <c r="E89" s="1" t="n">
        <v>46316</v>
      </c>
      <c r="F89" t="inlineStr">
        <is>
          <t>STOCKHOLMS LÄN</t>
        </is>
      </c>
      <c r="G89" t="inlineStr">
        <is>
          <t>NYNÄSHAMN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55871-2023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45239</v>
      </c>
      <c r="E90" s="1" t="n">
        <v>46316</v>
      </c>
      <c r="F90" t="inlineStr">
        <is>
          <t>STOCKHOLMS LÄN</t>
        </is>
      </c>
      <c r="G90" t="inlineStr">
        <is>
          <t>NYNÄSHAMN</t>
        </is>
      </c>
      <c r="H90" t="inlineStr">
        <is>
          <t>Kommuner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45469</v>
      </c>
      <c r="E91" s="1" t="n">
        <v>46316</v>
      </c>
      <c r="F91" t="inlineStr">
        <is>
          <t>STOCKHOLMS LÄN</t>
        </is>
      </c>
      <c r="G91" t="inlineStr">
        <is>
          <t>NYNÄSHAMN</t>
        </is>
      </c>
      <c r="I91" t="n">
        <v>4.7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52859-2024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45610</v>
      </c>
      <c r="E92" s="1" t="n">
        <v>46316</v>
      </c>
      <c r="F92" t="inlineStr">
        <is>
          <t>STOCKHOLMS LÄN</t>
        </is>
      </c>
      <c r="G92" t="inlineStr">
        <is>
          <t>NYNÄSHAMN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34385-2023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45139</v>
      </c>
      <c r="E93" s="1" t="n">
        <v>46316</v>
      </c>
      <c r="F93" t="inlineStr">
        <is>
          <t>STOCKHOLMS LÄN</t>
        </is>
      </c>
      <c r="G93" t="inlineStr">
        <is>
          <t>NYNÄSHAMN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32305-2026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46237</v>
      </c>
      <c r="E94" s="1" t="n">
        <v>46316</v>
      </c>
      <c r="F94" t="inlineStr">
        <is>
          <t>STOCKHOLMS LÄN</t>
        </is>
      </c>
      <c r="G94" t="inlineStr">
        <is>
          <t>NYNÄSHAMN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32307-2026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46237</v>
      </c>
      <c r="E95" s="1" t="n">
        <v>46316</v>
      </c>
      <c r="F95" t="inlineStr">
        <is>
          <t>STOCKHOLMS LÄN</t>
        </is>
      </c>
      <c r="G95" t="inlineStr">
        <is>
          <t>NYNÄSHAMN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34660-2023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45140</v>
      </c>
      <c r="E96" s="1" t="n">
        <v>46316</v>
      </c>
      <c r="F96" t="inlineStr">
        <is>
          <t>STOCKHOLMS LÄN</t>
        </is>
      </c>
      <c r="G96" t="inlineStr">
        <is>
          <t>NYNÄSHAMN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32840-2026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46244</v>
      </c>
      <c r="E97" s="1" t="n">
        <v>46316</v>
      </c>
      <c r="F97" t="inlineStr">
        <is>
          <t>STOCKHOLMS LÄN</t>
        </is>
      </c>
      <c r="G97" t="inlineStr">
        <is>
          <t>NYNÄSHAMN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33060-2026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46245</v>
      </c>
      <c r="E98" s="1" t="n">
        <v>46316</v>
      </c>
      <c r="F98" t="inlineStr">
        <is>
          <t>STOCKHOLMS LÄN</t>
        </is>
      </c>
      <c r="G98" t="inlineStr">
        <is>
          <t>NYNÄSHAMN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44624-2023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45184</v>
      </c>
      <c r="E99" s="1" t="n">
        <v>46316</v>
      </c>
      <c r="F99" t="inlineStr">
        <is>
          <t>STOCKHOLMS LÄN</t>
        </is>
      </c>
      <c r="G99" t="inlineStr">
        <is>
          <t>NYNÄSHAMN</t>
        </is>
      </c>
      <c r="I99" t="n">
        <v>6.8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33067-2026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46245</v>
      </c>
      <c r="E100" s="1" t="n">
        <v>46316</v>
      </c>
      <c r="F100" t="inlineStr">
        <is>
          <t>STOCKHOLMS LÄN</t>
        </is>
      </c>
      <c r="G100" t="inlineStr">
        <is>
          <t>NYNÄSHAMN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33063-2026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46245</v>
      </c>
      <c r="E101" s="1" t="n">
        <v>46316</v>
      </c>
      <c r="F101" t="inlineStr">
        <is>
          <t>STOCKHOLMS LÄN</t>
        </is>
      </c>
      <c r="G101" t="inlineStr">
        <is>
          <t>NYNÄSHAMN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30910-2023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45113</v>
      </c>
      <c r="E102" s="1" t="n">
        <v>46316</v>
      </c>
      <c r="F102" t="inlineStr">
        <is>
          <t>STOCKHOLMS LÄN</t>
        </is>
      </c>
      <c r="G102" t="inlineStr">
        <is>
          <t>NYNÄSHAMN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41767-2024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45561</v>
      </c>
      <c r="E103" s="1" t="n">
        <v>46316</v>
      </c>
      <c r="F103" t="inlineStr">
        <is>
          <t>STOCKHOLMS LÄN</t>
        </is>
      </c>
      <c r="G103" t="inlineStr">
        <is>
          <t>NYNÄSHAMN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45280</v>
      </c>
      <c r="E104" s="1" t="n">
        <v>46316</v>
      </c>
      <c r="F104" t="inlineStr">
        <is>
          <t>STOCKHOLMS LÄN</t>
        </is>
      </c>
      <c r="G104" t="inlineStr">
        <is>
          <t>NYNÄSHAMN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47089-2023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45196</v>
      </c>
      <c r="E105" s="1" t="n">
        <v>46316</v>
      </c>
      <c r="F105" t="inlineStr">
        <is>
          <t>STOCKHOLMS LÄN</t>
        </is>
      </c>
      <c r="G105" t="inlineStr">
        <is>
          <t>NYNÄSHAMN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48978-2023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45209</v>
      </c>
      <c r="E106" s="1" t="n">
        <v>46316</v>
      </c>
      <c r="F106" t="inlineStr">
        <is>
          <t>STOCKHOLMS LÄN</t>
        </is>
      </c>
      <c r="G106" t="inlineStr">
        <is>
          <t>NYNÄSHAMN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17991-2024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45419</v>
      </c>
      <c r="E107" s="1" t="n">
        <v>46316</v>
      </c>
      <c r="F107" t="inlineStr">
        <is>
          <t>STOCKHOLMS LÄN</t>
        </is>
      </c>
      <c r="G107" t="inlineStr">
        <is>
          <t>NYNÄSHAMN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45028</v>
      </c>
      <c r="E108" s="1" t="n">
        <v>46316</v>
      </c>
      <c r="F108" t="inlineStr">
        <is>
          <t>STOCKHOLMS LÄN</t>
        </is>
      </c>
      <c r="G108" t="inlineStr">
        <is>
          <t>NYNÄSHAMN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8932-2023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44979</v>
      </c>
      <c r="E109" s="1" t="n">
        <v>46316</v>
      </c>
      <c r="F109" t="inlineStr">
        <is>
          <t>STOCKHOLMS LÄN</t>
        </is>
      </c>
      <c r="G109" t="inlineStr">
        <is>
          <t>NYNÄSHAMN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10224-2023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44986</v>
      </c>
      <c r="E110" s="1" t="n">
        <v>46316</v>
      </c>
      <c r="F110" t="inlineStr">
        <is>
          <t>STOCKHOLMS LÄN</t>
        </is>
      </c>
      <c r="G110" t="inlineStr">
        <is>
          <t>NYNÄSHAMN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44680</v>
      </c>
      <c r="E111" s="1" t="n">
        <v>46316</v>
      </c>
      <c r="F111" t="inlineStr">
        <is>
          <t>STOCKHOLMS LÄN</t>
        </is>
      </c>
      <c r="G111" t="inlineStr">
        <is>
          <t>NYNÄSHAMN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33787-2024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45520</v>
      </c>
      <c r="E112" s="1" t="n">
        <v>46316</v>
      </c>
      <c r="F112" t="inlineStr">
        <is>
          <t>STOCKHOLMS LÄN</t>
        </is>
      </c>
      <c r="G112" t="inlineStr">
        <is>
          <t>NYNÄSHAMN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44619-2023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45189</v>
      </c>
      <c r="E113" s="1" t="n">
        <v>46316</v>
      </c>
      <c r="F113" t="inlineStr">
        <is>
          <t>STOCKHOLMS LÄN</t>
        </is>
      </c>
      <c r="G113" t="inlineStr">
        <is>
          <t>NYNÄSHAMN</t>
        </is>
      </c>
      <c r="I113" t="n">
        <v>7.6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45664</v>
      </c>
      <c r="E114" s="1" t="n">
        <v>46316</v>
      </c>
      <c r="F114" t="inlineStr">
        <is>
          <t>STOCKHOLMS LÄN</t>
        </is>
      </c>
      <c r="G114" t="inlineStr">
        <is>
          <t>NYNÄSHAMN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45610</v>
      </c>
      <c r="E115" s="1" t="n">
        <v>46316</v>
      </c>
      <c r="F115" t="inlineStr">
        <is>
          <t>STOCKHOLMS LÄN</t>
        </is>
      </c>
      <c r="G115" t="inlineStr">
        <is>
          <t>NYNÄSHAMN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35356-2023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45146</v>
      </c>
      <c r="E116" s="1" t="n">
        <v>46316</v>
      </c>
      <c r="F116" t="inlineStr">
        <is>
          <t>STOCKHOLMS LÄN</t>
        </is>
      </c>
      <c r="G116" t="inlineStr">
        <is>
          <t>NYNÄSHAMN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46316</v>
      </c>
      <c r="F117" t="inlineStr">
        <is>
          <t>STOCKHOLMS LÄN</t>
        </is>
      </c>
      <c r="G117" t="inlineStr">
        <is>
          <t>NYNÄSHAMN</t>
        </is>
      </c>
      <c r="H117" t="inlineStr">
        <is>
          <t>Kommuner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22730-2025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45789</v>
      </c>
      <c r="E118" s="1" t="n">
        <v>46316</v>
      </c>
      <c r="F118" t="inlineStr">
        <is>
          <t>STOCKHOLMS LÄN</t>
        </is>
      </c>
      <c r="G118" t="inlineStr">
        <is>
          <t>NYNÄSHAMN</t>
        </is>
      </c>
      <c r="H118" t="inlineStr">
        <is>
          <t>Kommuner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46316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46316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46316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2026-10-21T02:04:12Z</dcterms:created>
  <dcterms:modified xmlns:dcterms="http://purl.org/dc/terms/" xmlns:xsi="http://www.w3.org/2001/XMLSchema-instance" xsi:type="dcterms:W3CDTF">2026-10-21T02:04:12Z</dcterms:modified>
</cp:coreProperties>
</file>