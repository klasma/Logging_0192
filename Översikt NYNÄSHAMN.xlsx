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45789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45789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45789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45789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45789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45789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45789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45789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45789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45789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45789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45789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45789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45789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45789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45789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45789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45789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45789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45789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45789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45789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45789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19784-2025</t>
        </is>
      </c>
      <c r="B25" s="1" t="n">
        <v>45771</v>
      </c>
      <c r="C25" s="1" t="n">
        <v>45789</v>
      </c>
      <c r="D25" t="inlineStr">
        <is>
          <t>STOCKHOLMS LÄN</t>
        </is>
      </c>
      <c r="E25" t="inlineStr">
        <is>
          <t>NYNÄSHAMN</t>
        </is>
      </c>
      <c r="G25" t="n">
        <v>12.6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HYPERLINK("https://klasma.github.io/Logging_010192/artfynd/A 19784-2025 artfynd.xlsx", "A 19784-2025")</f>
        <v/>
      </c>
      <c r="T25">
        <f>HYPERLINK("https://klasma.github.io/Logging_010192/kartor/A 19784-2025 karta.png", "A 19784-2025")</f>
        <v/>
      </c>
      <c r="V25">
        <f>HYPERLINK("https://klasma.github.io/Logging_010192/klagomål/A 19784-2025 FSC-klagomål.docx", "A 19784-2025")</f>
        <v/>
      </c>
      <c r="W25">
        <f>HYPERLINK("https://klasma.github.io/Logging_010192/klagomålsmail/A 19784-2025 FSC-klagomål mail.docx", "A 19784-2025")</f>
        <v/>
      </c>
      <c r="X25">
        <f>HYPERLINK("https://klasma.github.io/Logging_010192/tillsyn/A 19784-2025 tillsynsbegäran.docx", "A 19784-2025")</f>
        <v/>
      </c>
      <c r="Y25">
        <f>HYPERLINK("https://klasma.github.io/Logging_010192/tillsynsmail/A 19784-2025 tillsynsbegäran mail.docx", "A 19784-2025")</f>
        <v/>
      </c>
      <c r="Z25">
        <f>HYPERLINK("https://klasma.github.io/Logging_010192/fåglar/A 19784-2025 prioriterade fågelarter.docx", "A 19784-2025")</f>
        <v/>
      </c>
    </row>
    <row r="26" ht="15" customHeight="1">
      <c r="A26" t="inlineStr">
        <is>
          <t>A 24362-2019</t>
        </is>
      </c>
      <c r="B26" s="1" t="n">
        <v>43599</v>
      </c>
      <c r="C26" s="1" t="n">
        <v>45789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24362-2019 artfynd.xlsx", "A 24362-2019")</f>
        <v/>
      </c>
      <c r="T26">
        <f>HYPERLINK("https://klasma.github.io/Logging_0192/kartor/A 24362-2019 karta.png", "A 24362-2019")</f>
        <v/>
      </c>
      <c r="V26">
        <f>HYPERLINK("https://klasma.github.io/Logging_0192/klagomål/A 24362-2019 FSC-klagomål.docx", "A 24362-2019")</f>
        <v/>
      </c>
      <c r="W26">
        <f>HYPERLINK("https://klasma.github.io/Logging_0192/klagomålsmail/A 24362-2019 FSC-klagomål mail.docx", "A 24362-2019")</f>
        <v/>
      </c>
      <c r="X26">
        <f>HYPERLINK("https://klasma.github.io/Logging_0192/tillsyn/A 24362-2019 tillsynsbegäran.docx", "A 24362-2019")</f>
        <v/>
      </c>
      <c r="Y26">
        <f>HYPERLINK("https://klasma.github.io/Logging_0192/tillsynsmail/A 24362-2019 tillsynsbegäran mail.docx", "A 24362-2019")</f>
        <v/>
      </c>
    </row>
    <row r="27" ht="15" customHeight="1">
      <c r="A27" t="inlineStr">
        <is>
          <t>A 7151-2020</t>
        </is>
      </c>
      <c r="B27" s="1" t="n">
        <v>43869</v>
      </c>
      <c r="C27" s="1" t="n">
        <v>45789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HYPERLINK("https://klasma.github.io/Logging_0192/artfynd/A 7151-2020 artfynd.xlsx", "A 7151-2020")</f>
        <v/>
      </c>
      <c r="T27">
        <f>HYPERLINK("https://klasma.github.io/Logging_0192/kartor/A 7151-2020 karta.png", "A 7151-2020")</f>
        <v/>
      </c>
      <c r="V27">
        <f>HYPERLINK("https://klasma.github.io/Logging_0192/klagomål/A 7151-2020 FSC-klagomål.docx", "A 7151-2020")</f>
        <v/>
      </c>
      <c r="W27">
        <f>HYPERLINK("https://klasma.github.io/Logging_0192/klagomålsmail/A 7151-2020 FSC-klagomål mail.docx", "A 7151-2020")</f>
        <v/>
      </c>
      <c r="X27">
        <f>HYPERLINK("https://klasma.github.io/Logging_0192/tillsyn/A 7151-2020 tillsynsbegäran.docx", "A 7151-2020")</f>
        <v/>
      </c>
      <c r="Y27">
        <f>HYPERLINK("https://klasma.github.io/Logging_0192/tillsynsmail/A 7151-2020 tillsynsbegäran mail.docx", "A 7151-2020")</f>
        <v/>
      </c>
    </row>
    <row r="28" ht="15" customHeight="1">
      <c r="A28" t="inlineStr">
        <is>
          <t>A 18965-2020</t>
        </is>
      </c>
      <c r="B28" s="1" t="n">
        <v>43935</v>
      </c>
      <c r="C28" s="1" t="n">
        <v>45789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14.3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18965-2020 artfynd.xlsx", "A 18965-2020")</f>
        <v/>
      </c>
      <c r="T28">
        <f>HYPERLINK("https://klasma.github.io/Logging_0192/kartor/A 18965-2020 karta.png", "A 18965-2020")</f>
        <v/>
      </c>
      <c r="V28">
        <f>HYPERLINK("https://klasma.github.io/Logging_0192/klagomål/A 18965-2020 FSC-klagomål.docx", "A 18965-2020")</f>
        <v/>
      </c>
      <c r="W28">
        <f>HYPERLINK("https://klasma.github.io/Logging_0192/klagomålsmail/A 18965-2020 FSC-klagomål mail.docx", "A 18965-2020")</f>
        <v/>
      </c>
      <c r="X28">
        <f>HYPERLINK("https://klasma.github.io/Logging_0192/tillsyn/A 18965-2020 tillsynsbegäran.docx", "A 18965-2020")</f>
        <v/>
      </c>
      <c r="Y28">
        <f>HYPERLINK("https://klasma.github.io/Logging_0192/tillsynsmail/A 18965-2020 tillsynsbegäran mail.docx", "A 18965-2020")</f>
        <v/>
      </c>
    </row>
    <row r="29" ht="15" customHeight="1">
      <c r="A29" t="inlineStr">
        <is>
          <t>A 12989-2021</t>
        </is>
      </c>
      <c r="B29" s="1" t="n">
        <v>44271</v>
      </c>
      <c r="C29" s="1" t="n">
        <v>45789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12989-2021 artfynd.xlsx", "A 12989-2021")</f>
        <v/>
      </c>
      <c r="T29">
        <f>HYPERLINK("https://klasma.github.io/Logging_0192/kartor/A 12989-2021 karta.png", "A 12989-2021")</f>
        <v/>
      </c>
      <c r="V29">
        <f>HYPERLINK("https://klasma.github.io/Logging_0192/klagomål/A 12989-2021 FSC-klagomål.docx", "A 12989-2021")</f>
        <v/>
      </c>
      <c r="W29">
        <f>HYPERLINK("https://klasma.github.io/Logging_0192/klagomålsmail/A 12989-2021 FSC-klagomål mail.docx", "A 12989-2021")</f>
        <v/>
      </c>
      <c r="X29">
        <f>HYPERLINK("https://klasma.github.io/Logging_0192/tillsyn/A 12989-2021 tillsynsbegäran.docx", "A 12989-2021")</f>
        <v/>
      </c>
      <c r="Y29">
        <f>HYPERLINK("https://klasma.github.io/Logging_0192/tillsynsmail/A 12989-2021 tillsynsbegäran mail.docx", "A 12989-2021")</f>
        <v/>
      </c>
    </row>
    <row r="30" ht="15" customHeight="1">
      <c r="A30" t="inlineStr">
        <is>
          <t>A 31980-2021</t>
        </is>
      </c>
      <c r="B30" s="1" t="n">
        <v>44370</v>
      </c>
      <c r="C30" s="1" t="n">
        <v>45789</v>
      </c>
      <c r="D30" t="inlineStr">
        <is>
          <t>STOCKHOLMS LÄN</t>
        </is>
      </c>
      <c r="E30" t="inlineStr">
        <is>
          <t>NYNÄSHAMN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Liten ekkremla</t>
        </is>
      </c>
      <c r="S30">
        <f>HYPERLINK("https://klasma.github.io/Logging_0192/artfynd/A 31980-2021 artfynd.xlsx", "A 31980-2021")</f>
        <v/>
      </c>
      <c r="T30">
        <f>HYPERLINK("https://klasma.github.io/Logging_0192/kartor/A 31980-2021 karta.png", "A 31980-2021")</f>
        <v/>
      </c>
      <c r="V30">
        <f>HYPERLINK("https://klasma.github.io/Logging_0192/klagomål/A 31980-2021 FSC-klagomål.docx", "A 31980-2021")</f>
        <v/>
      </c>
      <c r="W30">
        <f>HYPERLINK("https://klasma.github.io/Logging_0192/klagomålsmail/A 31980-2021 FSC-klagomål mail.docx", "A 31980-2021")</f>
        <v/>
      </c>
      <c r="X30">
        <f>HYPERLINK("https://klasma.github.io/Logging_0192/tillsyn/A 31980-2021 tillsynsbegäran.docx", "A 31980-2021")</f>
        <v/>
      </c>
      <c r="Y30">
        <f>HYPERLINK("https://klasma.github.io/Logging_0192/tillsynsmail/A 31980-2021 tillsynsbegäran mail.docx", "A 31980-2021")</f>
        <v/>
      </c>
    </row>
    <row r="31" ht="15" customHeight="1">
      <c r="A31" t="inlineStr">
        <is>
          <t>A 37100-2021</t>
        </is>
      </c>
      <c r="B31" s="1" t="n">
        <v>44396</v>
      </c>
      <c r="C31" s="1" t="n">
        <v>45789</v>
      </c>
      <c r="D31" t="inlineStr">
        <is>
          <t>STOCKHOLMS LÄN</t>
        </is>
      </c>
      <c r="E31" t="inlineStr">
        <is>
          <t>NYNÄSHAMN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HYPERLINK("https://klasma.github.io/Logging_0192/artfynd/A 37100-2021 artfynd.xlsx", "A 37100-2021")</f>
        <v/>
      </c>
      <c r="T31">
        <f>HYPERLINK("https://klasma.github.io/Logging_0192/kartor/A 37100-2021 karta.png", "A 37100-2021")</f>
        <v/>
      </c>
      <c r="V31">
        <f>HYPERLINK("https://klasma.github.io/Logging_0192/klagomål/A 37100-2021 FSC-klagomål.docx", "A 37100-2021")</f>
        <v/>
      </c>
      <c r="W31">
        <f>HYPERLINK("https://klasma.github.io/Logging_0192/klagomålsmail/A 37100-2021 FSC-klagomål mail.docx", "A 37100-2021")</f>
        <v/>
      </c>
      <c r="X31">
        <f>HYPERLINK("https://klasma.github.io/Logging_0192/tillsyn/A 37100-2021 tillsynsbegäran.docx", "A 37100-2021")</f>
        <v/>
      </c>
      <c r="Y31">
        <f>HYPERLINK("https://klasma.github.io/Logging_0192/tillsynsmail/A 37100-2021 tillsynsbegäran mail.docx", "A 37100-2021")</f>
        <v/>
      </c>
    </row>
    <row r="32" ht="15" customHeight="1">
      <c r="A32" t="inlineStr">
        <is>
          <t>A 42050-2021</t>
        </is>
      </c>
      <c r="B32" s="1" t="n">
        <v>44426</v>
      </c>
      <c r="C32" s="1" t="n">
        <v>45789</v>
      </c>
      <c r="D32" t="inlineStr">
        <is>
          <t>STOCKHOLMS LÄN</t>
        </is>
      </c>
      <c r="E32" t="inlineStr">
        <is>
          <t>NYNÄSHAMN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Kandelabersvamp</t>
        </is>
      </c>
      <c r="S32">
        <f>HYPERLINK("https://klasma.github.io/Logging_0192/artfynd/A 42050-2021 artfynd.xlsx", "A 42050-2021")</f>
        <v/>
      </c>
      <c r="T32">
        <f>HYPERLINK("https://klasma.github.io/Logging_0192/kartor/A 42050-2021 karta.png", "A 42050-2021")</f>
        <v/>
      </c>
      <c r="V32">
        <f>HYPERLINK("https://klasma.github.io/Logging_0192/klagomål/A 42050-2021 FSC-klagomål.docx", "A 42050-2021")</f>
        <v/>
      </c>
      <c r="W32">
        <f>HYPERLINK("https://klasma.github.io/Logging_0192/klagomålsmail/A 42050-2021 FSC-klagomål mail.docx", "A 42050-2021")</f>
        <v/>
      </c>
      <c r="X32">
        <f>HYPERLINK("https://klasma.github.io/Logging_0192/tillsyn/A 42050-2021 tillsynsbegäran.docx", "A 42050-2021")</f>
        <v/>
      </c>
      <c r="Y32">
        <f>HYPERLINK("https://klasma.github.io/Logging_0192/tillsynsmail/A 42050-2021 tillsynsbegäran mail.docx", "A 42050-2021")</f>
        <v/>
      </c>
    </row>
    <row r="33" ht="15" customHeight="1">
      <c r="A33" t="inlineStr">
        <is>
          <t>A 10059-2022</t>
        </is>
      </c>
      <c r="B33" s="1" t="n">
        <v>44621</v>
      </c>
      <c r="C33" s="1" t="n">
        <v>45789</v>
      </c>
      <c r="D33" t="inlineStr">
        <is>
          <t>STOCKHOLMS LÄN</t>
        </is>
      </c>
      <c r="E33" t="inlineStr">
        <is>
          <t>NYNÄSHAMN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HYPERLINK("https://klasma.github.io/Logging_0192/artfynd/A 10059-2022 artfynd.xlsx", "A 10059-2022")</f>
        <v/>
      </c>
      <c r="T33">
        <f>HYPERLINK("https://klasma.github.io/Logging_0192/kartor/A 10059-2022 karta.png", "A 10059-2022")</f>
        <v/>
      </c>
      <c r="V33">
        <f>HYPERLINK("https://klasma.github.io/Logging_0192/klagomål/A 10059-2022 FSC-klagomål.docx", "A 10059-2022")</f>
        <v/>
      </c>
      <c r="W33">
        <f>HYPERLINK("https://klasma.github.io/Logging_0192/klagomålsmail/A 10059-2022 FSC-klagomål mail.docx", "A 10059-2022")</f>
        <v/>
      </c>
      <c r="X33">
        <f>HYPERLINK("https://klasma.github.io/Logging_0192/tillsyn/A 10059-2022 tillsynsbegäran.docx", "A 10059-2022")</f>
        <v/>
      </c>
      <c r="Y33">
        <f>HYPERLINK("https://klasma.github.io/Logging_0192/tillsynsmail/A 10059-2022 tillsynsbegäran mail.docx", "A 10059-2022")</f>
        <v/>
      </c>
    </row>
    <row r="34" ht="15" customHeight="1">
      <c r="A34" t="inlineStr">
        <is>
          <t>A 16309-2022</t>
        </is>
      </c>
      <c r="B34" s="1" t="n">
        <v>44670</v>
      </c>
      <c r="C34" s="1" t="n">
        <v>45789</v>
      </c>
      <c r="D34" t="inlineStr">
        <is>
          <t>STOCKHOLMS LÄN</t>
        </is>
      </c>
      <c r="E34" t="inlineStr">
        <is>
          <t>NYNÄSHAMN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HYPERLINK("https://klasma.github.io/Logging_0192/artfynd/A 16309-2022 artfynd.xlsx", "A 16309-2022")</f>
        <v/>
      </c>
      <c r="T34">
        <f>HYPERLINK("https://klasma.github.io/Logging_0192/kartor/A 16309-2022 karta.png", "A 16309-2022")</f>
        <v/>
      </c>
      <c r="V34">
        <f>HYPERLINK("https://klasma.github.io/Logging_0192/klagomål/A 16309-2022 FSC-klagomål.docx", "A 16309-2022")</f>
        <v/>
      </c>
      <c r="W34">
        <f>HYPERLINK("https://klasma.github.io/Logging_0192/klagomålsmail/A 16309-2022 FSC-klagomål mail.docx", "A 16309-2022")</f>
        <v/>
      </c>
      <c r="X34">
        <f>HYPERLINK("https://klasma.github.io/Logging_0192/tillsyn/A 16309-2022 tillsynsbegäran.docx", "A 16309-2022")</f>
        <v/>
      </c>
      <c r="Y34">
        <f>HYPERLINK("https://klasma.github.io/Logging_0192/tillsynsmail/A 16309-2022 tillsynsbegäran mail.docx", "A 16309-2022")</f>
        <v/>
      </c>
    </row>
    <row r="35" ht="15" customHeight="1">
      <c r="A35" t="inlineStr">
        <is>
          <t>A 4688-2023</t>
        </is>
      </c>
      <c r="B35" s="1" t="n">
        <v>44957</v>
      </c>
      <c r="C35" s="1" t="n">
        <v>45789</v>
      </c>
      <c r="D35" t="inlineStr">
        <is>
          <t>STOCKHOLMS LÄN</t>
        </is>
      </c>
      <c r="E35" t="inlineStr">
        <is>
          <t>NYNÄSHAMN</t>
        </is>
      </c>
      <c r="G35" t="n">
        <v>0.9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Lundsångare</t>
        </is>
      </c>
      <c r="S35">
        <f>HYPERLINK("https://klasma.github.io/Logging_0192/artfynd/A 4688-2023 artfynd.xlsx", "A 4688-2023")</f>
        <v/>
      </c>
      <c r="T35">
        <f>HYPERLINK("https://klasma.github.io/Logging_0192/kartor/A 4688-2023 karta.png", "A 4688-2023")</f>
        <v/>
      </c>
      <c r="V35">
        <f>HYPERLINK("https://klasma.github.io/Logging_0192/klagomål/A 4688-2023 FSC-klagomål.docx", "A 4688-2023")</f>
        <v/>
      </c>
      <c r="W35">
        <f>HYPERLINK("https://klasma.github.io/Logging_0192/klagomålsmail/A 4688-2023 FSC-klagomål mail.docx", "A 4688-2023")</f>
        <v/>
      </c>
      <c r="X35">
        <f>HYPERLINK("https://klasma.github.io/Logging_0192/tillsyn/A 4688-2023 tillsynsbegäran.docx", "A 4688-2023")</f>
        <v/>
      </c>
      <c r="Y35">
        <f>HYPERLINK("https://klasma.github.io/Logging_0192/tillsynsmail/A 4688-2023 tillsynsbegäran mail.docx", "A 4688-2023")</f>
        <v/>
      </c>
      <c r="Z35">
        <f>HYPERLINK("https://klasma.github.io/Logging_0192/fåglar/A 4688-2023 prioriterade fågelarter.docx", "A 4688-2023")</f>
        <v/>
      </c>
    </row>
    <row r="36" ht="15" customHeight="1">
      <c r="A36" t="inlineStr">
        <is>
          <t>A 6435-2023</t>
        </is>
      </c>
      <c r="B36" s="1" t="n">
        <v>44965</v>
      </c>
      <c r="C36" s="1" t="n">
        <v>45789</v>
      </c>
      <c r="D36" t="inlineStr">
        <is>
          <t>STOCKHOLMS LÄN</t>
        </is>
      </c>
      <c r="E36" t="inlineStr">
        <is>
          <t>NYNÄSHAMN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HYPERLINK("https://klasma.github.io/Logging_0192/artfynd/A 6435-2023 artfynd.xlsx", "A 6435-2023")</f>
        <v/>
      </c>
      <c r="T36">
        <f>HYPERLINK("https://klasma.github.io/Logging_0192/kartor/A 6435-2023 karta.png", "A 6435-2023")</f>
        <v/>
      </c>
      <c r="V36">
        <f>HYPERLINK("https://klasma.github.io/Logging_0192/klagomål/A 6435-2023 FSC-klagomål.docx", "A 6435-2023")</f>
        <v/>
      </c>
      <c r="W36">
        <f>HYPERLINK("https://klasma.github.io/Logging_0192/klagomålsmail/A 6435-2023 FSC-klagomål mail.docx", "A 6435-2023")</f>
        <v/>
      </c>
      <c r="X36">
        <f>HYPERLINK("https://klasma.github.io/Logging_0192/tillsyn/A 6435-2023 tillsynsbegäran.docx", "A 6435-2023")</f>
        <v/>
      </c>
      <c r="Y36">
        <f>HYPERLINK("https://klasma.github.io/Logging_0192/tillsynsmail/A 6435-2023 tillsynsbegäran mail.docx", "A 6435-2023")</f>
        <v/>
      </c>
    </row>
    <row r="37" ht="15" customHeight="1">
      <c r="A37" t="inlineStr">
        <is>
          <t>A 7540-2023</t>
        </is>
      </c>
      <c r="B37" s="1" t="n">
        <v>44972</v>
      </c>
      <c r="C37" s="1" t="n">
        <v>45789</v>
      </c>
      <c r="D37" t="inlineStr">
        <is>
          <t>STOCKHOLMS LÄN</t>
        </is>
      </c>
      <c r="E37" t="inlineStr">
        <is>
          <t>NYNÄSHAMN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HYPERLINK("https://klasma.github.io/Logging_0192/artfynd/A 7540-2023 artfynd.xlsx", "A 7540-2023")</f>
        <v/>
      </c>
      <c r="T37">
        <f>HYPERLINK("https://klasma.github.io/Logging_0192/kartor/A 7540-2023 karta.png", "A 7540-2023")</f>
        <v/>
      </c>
      <c r="V37">
        <f>HYPERLINK("https://klasma.github.io/Logging_0192/klagomål/A 7540-2023 FSC-klagomål.docx", "A 7540-2023")</f>
        <v/>
      </c>
      <c r="W37">
        <f>HYPERLINK("https://klasma.github.io/Logging_0192/klagomålsmail/A 7540-2023 FSC-klagomål mail.docx", "A 7540-2023")</f>
        <v/>
      </c>
      <c r="X37">
        <f>HYPERLINK("https://klasma.github.io/Logging_0192/tillsyn/A 7540-2023 tillsynsbegäran.docx", "A 7540-2023")</f>
        <v/>
      </c>
      <c r="Y37">
        <f>HYPERLINK("https://klasma.github.io/Logging_0192/tillsynsmail/A 7540-2023 tillsynsbegäran mail.docx", "A 7540-2023")</f>
        <v/>
      </c>
      <c r="Z37">
        <f>HYPERLINK("https://klasma.github.io/Logging_0192/fåglar/A 7540-2023 prioriterade fågelarter.docx", "A 7540-2023")</f>
        <v/>
      </c>
    </row>
    <row r="38" ht="15" customHeight="1">
      <c r="A38" t="inlineStr">
        <is>
          <t>A 9268-2023</t>
        </is>
      </c>
      <c r="B38" s="1" t="n">
        <v>44980</v>
      </c>
      <c r="C38" s="1" t="n">
        <v>45789</v>
      </c>
      <c r="D38" t="inlineStr">
        <is>
          <t>STOCKHOLMS LÄN</t>
        </is>
      </c>
      <c r="E38" t="inlineStr">
        <is>
          <t>NYNÄSHAMN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9268-2023 artfynd.xlsx", "A 9268-2023")</f>
        <v/>
      </c>
      <c r="T38">
        <f>HYPERLINK("https://klasma.github.io/Logging_0192/kartor/A 9268-2023 karta.png", "A 9268-2023")</f>
        <v/>
      </c>
      <c r="V38">
        <f>HYPERLINK("https://klasma.github.io/Logging_0192/klagomål/A 9268-2023 FSC-klagomål.docx", "A 9268-2023")</f>
        <v/>
      </c>
      <c r="W38">
        <f>HYPERLINK("https://klasma.github.io/Logging_0192/klagomålsmail/A 9268-2023 FSC-klagomål mail.docx", "A 9268-2023")</f>
        <v/>
      </c>
      <c r="X38">
        <f>HYPERLINK("https://klasma.github.io/Logging_0192/tillsyn/A 9268-2023 tillsynsbegäran.docx", "A 9268-2023")</f>
        <v/>
      </c>
      <c r="Y38">
        <f>HYPERLINK("https://klasma.github.io/Logging_0192/tillsynsmail/A 9268-2023 tillsynsbegäran mail.docx", "A 9268-2023")</f>
        <v/>
      </c>
    </row>
    <row r="39" ht="15" customHeight="1">
      <c r="A39" t="inlineStr">
        <is>
          <t>A 31142-2023</t>
        </is>
      </c>
      <c r="B39" s="1" t="n">
        <v>45113</v>
      </c>
      <c r="C39" s="1" t="n">
        <v>45789</v>
      </c>
      <c r="D39" t="inlineStr">
        <is>
          <t>STOCKHOLMS LÄN</t>
        </is>
      </c>
      <c r="E39" t="inlineStr">
        <is>
          <t>NYNÄSHAMN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HYPERLINK("https://klasma.github.io/Logging_0192/artfynd/A 31142-2023 artfynd.xlsx", "A 31142-2023")</f>
        <v/>
      </c>
      <c r="T39">
        <f>HYPERLINK("https://klasma.github.io/Logging_0192/kartor/A 31142-2023 karta.png", "A 31142-2023")</f>
        <v/>
      </c>
      <c r="V39">
        <f>HYPERLINK("https://klasma.github.io/Logging_0192/klagomål/A 31142-2023 FSC-klagomål.docx", "A 31142-2023")</f>
        <v/>
      </c>
      <c r="W39">
        <f>HYPERLINK("https://klasma.github.io/Logging_0192/klagomålsmail/A 31142-2023 FSC-klagomål mail.docx", "A 31142-2023")</f>
        <v/>
      </c>
      <c r="X39">
        <f>HYPERLINK("https://klasma.github.io/Logging_0192/tillsyn/A 31142-2023 tillsynsbegäran.docx", "A 31142-2023")</f>
        <v/>
      </c>
      <c r="Y39">
        <f>HYPERLINK("https://klasma.github.io/Logging_0192/tillsynsmail/A 31142-2023 tillsynsbegäran mail.docx", "A 31142-2023")</f>
        <v/>
      </c>
    </row>
    <row r="40" ht="15" customHeight="1">
      <c r="A40" t="inlineStr">
        <is>
          <t>A 31828-2023</t>
        </is>
      </c>
      <c r="B40" s="1" t="n">
        <v>45118</v>
      </c>
      <c r="C40" s="1" t="n">
        <v>45789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HYPERLINK("https://klasma.github.io/Logging_0192/artfynd/A 31828-2023 artfynd.xlsx", "A 31828-2023")</f>
        <v/>
      </c>
      <c r="T40">
        <f>HYPERLINK("https://klasma.github.io/Logging_0192/kartor/A 31828-2023 karta.png", "A 31828-2023")</f>
        <v/>
      </c>
      <c r="V40">
        <f>HYPERLINK("https://klasma.github.io/Logging_0192/klagomål/A 31828-2023 FSC-klagomål.docx", "A 31828-2023")</f>
        <v/>
      </c>
      <c r="W40">
        <f>HYPERLINK("https://klasma.github.io/Logging_0192/klagomålsmail/A 31828-2023 FSC-klagomål mail.docx", "A 31828-2023")</f>
        <v/>
      </c>
      <c r="X40">
        <f>HYPERLINK("https://klasma.github.io/Logging_0192/tillsyn/A 31828-2023 tillsynsbegäran.docx", "A 31828-2023")</f>
        <v/>
      </c>
      <c r="Y40">
        <f>HYPERLINK("https://klasma.github.io/Logging_0192/tillsynsmail/A 31828-2023 tillsynsbegäran mail.docx", "A 31828-2023")</f>
        <v/>
      </c>
    </row>
    <row r="41" ht="15" customHeight="1">
      <c r="A41" t="inlineStr">
        <is>
          <t>A 31842-2023</t>
        </is>
      </c>
      <c r="B41" s="1" t="n">
        <v>45118</v>
      </c>
      <c r="C41" s="1" t="n">
        <v>45789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3.8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 sköldmossa</t>
        </is>
      </c>
      <c r="S41">
        <f>HYPERLINK("https://klasma.github.io/Logging_0192/artfynd/A 31842-2023 artfynd.xlsx", "A 31842-2023")</f>
        <v/>
      </c>
      <c r="T41">
        <f>HYPERLINK("https://klasma.github.io/Logging_0192/kartor/A 31842-2023 karta.png", "A 31842-2023")</f>
        <v/>
      </c>
      <c r="V41">
        <f>HYPERLINK("https://klasma.github.io/Logging_0192/klagomål/A 31842-2023 FSC-klagomål.docx", "A 31842-2023")</f>
        <v/>
      </c>
      <c r="W41">
        <f>HYPERLINK("https://klasma.github.io/Logging_0192/klagomålsmail/A 31842-2023 FSC-klagomål mail.docx", "A 31842-2023")</f>
        <v/>
      </c>
      <c r="X41">
        <f>HYPERLINK("https://klasma.github.io/Logging_0192/tillsyn/A 31842-2023 tillsynsbegäran.docx", "A 31842-2023")</f>
        <v/>
      </c>
      <c r="Y41">
        <f>HYPERLINK("https://klasma.github.io/Logging_0192/tillsynsmail/A 31842-2023 tillsynsbegäran mail.docx", "A 31842-2023")</f>
        <v/>
      </c>
    </row>
    <row r="42" ht="15" customHeight="1">
      <c r="A42" t="inlineStr">
        <is>
          <t>A 33528-2023</t>
        </is>
      </c>
      <c r="B42" s="1" t="n">
        <v>45131</v>
      </c>
      <c r="C42" s="1" t="n">
        <v>45789</v>
      </c>
      <c r="D42" t="inlineStr">
        <is>
          <t>STOCKHOLMS LÄN</t>
        </is>
      </c>
      <c r="E42" t="inlineStr">
        <is>
          <t>NYNÄSHAMN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HYPERLINK("https://klasma.github.io/Logging_0192/artfynd/A 33528-2023 artfynd.xlsx", "A 33528-2023")</f>
        <v/>
      </c>
      <c r="T42">
        <f>HYPERLINK("https://klasma.github.io/Logging_0192/kartor/A 33528-2023 karta.png", "A 33528-2023")</f>
        <v/>
      </c>
      <c r="V42">
        <f>HYPERLINK("https://klasma.github.io/Logging_0192/klagomål/A 33528-2023 FSC-klagomål.docx", "A 33528-2023")</f>
        <v/>
      </c>
      <c r="W42">
        <f>HYPERLINK("https://klasma.github.io/Logging_0192/klagomålsmail/A 33528-2023 FSC-klagomål mail.docx", "A 33528-2023")</f>
        <v/>
      </c>
      <c r="X42">
        <f>HYPERLINK("https://klasma.github.io/Logging_0192/tillsyn/A 33528-2023 tillsynsbegäran.docx", "A 33528-2023")</f>
        <v/>
      </c>
      <c r="Y42">
        <f>HYPERLINK("https://klasma.github.io/Logging_0192/tillsynsmail/A 33528-2023 tillsynsbegäran mail.docx", "A 33528-2023")</f>
        <v/>
      </c>
    </row>
    <row r="43" ht="15" customHeight="1">
      <c r="A43" t="inlineStr">
        <is>
          <t>A 47110-2023</t>
        </is>
      </c>
      <c r="B43" s="1" t="n">
        <v>45196</v>
      </c>
      <c r="C43" s="1" t="n">
        <v>45789</v>
      </c>
      <c r="D43" t="inlineStr">
        <is>
          <t>STOCKHOLMS LÄN</t>
        </is>
      </c>
      <c r="E43" t="inlineStr">
        <is>
          <t>NYNÄSHAMN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Barrviolspindling</t>
        </is>
      </c>
      <c r="S43">
        <f>HYPERLINK("https://klasma.github.io/Logging_0192/artfynd/A 47110-2023 artfynd.xlsx", "A 47110-2023")</f>
        <v/>
      </c>
      <c r="T43">
        <f>HYPERLINK("https://klasma.github.io/Logging_0192/kartor/A 47110-2023 karta.png", "A 47110-2023")</f>
        <v/>
      </c>
      <c r="V43">
        <f>HYPERLINK("https://klasma.github.io/Logging_0192/klagomål/A 47110-2023 FSC-klagomål.docx", "A 47110-2023")</f>
        <v/>
      </c>
      <c r="W43">
        <f>HYPERLINK("https://klasma.github.io/Logging_0192/klagomålsmail/A 47110-2023 FSC-klagomål mail.docx", "A 47110-2023")</f>
        <v/>
      </c>
      <c r="X43">
        <f>HYPERLINK("https://klasma.github.io/Logging_0192/tillsyn/A 47110-2023 tillsynsbegäran.docx", "A 47110-2023")</f>
        <v/>
      </c>
      <c r="Y43">
        <f>HYPERLINK("https://klasma.github.io/Logging_0192/tillsynsmail/A 47110-2023 tillsynsbegäran mail.docx", "A 47110-2023")</f>
        <v/>
      </c>
    </row>
    <row r="44" ht="15" customHeight="1">
      <c r="A44" t="inlineStr">
        <is>
          <t>A 55872-2023</t>
        </is>
      </c>
      <c r="B44" s="1" t="n">
        <v>45239</v>
      </c>
      <c r="C44" s="1" t="n">
        <v>45789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Skogshakmossa</t>
        </is>
      </c>
      <c r="S44">
        <f>HYPERLINK("https://klasma.github.io/Logging_0192/artfynd/A 55872-2023 artfynd.xlsx", "A 55872-2023")</f>
        <v/>
      </c>
      <c r="T44">
        <f>HYPERLINK("https://klasma.github.io/Logging_0192/kartor/A 55872-2023 karta.png", "A 55872-2023")</f>
        <v/>
      </c>
      <c r="V44">
        <f>HYPERLINK("https://klasma.github.io/Logging_0192/klagomål/A 55872-2023 FSC-klagomål.docx", "A 55872-2023")</f>
        <v/>
      </c>
      <c r="W44">
        <f>HYPERLINK("https://klasma.github.io/Logging_0192/klagomålsmail/A 55872-2023 FSC-klagomål mail.docx", "A 55872-2023")</f>
        <v/>
      </c>
      <c r="X44">
        <f>HYPERLINK("https://klasma.github.io/Logging_0192/tillsyn/A 55872-2023 tillsynsbegäran.docx", "A 55872-2023")</f>
        <v/>
      </c>
      <c r="Y44">
        <f>HYPERLINK("https://klasma.github.io/Logging_0192/tillsynsmail/A 55872-2023 tillsynsbegäran mail.docx", "A 55872-2023")</f>
        <v/>
      </c>
    </row>
    <row r="45" ht="15" customHeight="1">
      <c r="A45" t="inlineStr">
        <is>
          <t>A 62007-2023</t>
        </is>
      </c>
      <c r="B45" s="1" t="n">
        <v>45266</v>
      </c>
      <c r="C45" s="1" t="n">
        <v>45789</v>
      </c>
      <c r="D45" t="inlineStr">
        <is>
          <t>STOCKHOLMS LÄN</t>
        </is>
      </c>
      <c r="E45" t="inlineStr">
        <is>
          <t>NYNÄSHAMN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HYPERLINK("https://klasma.github.io/Logging_0192/artfynd/A 62007-2023 artfynd.xlsx", "A 62007-2023")</f>
        <v/>
      </c>
      <c r="T45">
        <f>HYPERLINK("https://klasma.github.io/Logging_0192/kartor/A 62007-2023 karta.png", "A 62007-2023")</f>
        <v/>
      </c>
      <c r="V45">
        <f>HYPERLINK("https://klasma.github.io/Logging_0192/klagomål/A 62007-2023 FSC-klagomål.docx", "A 62007-2023")</f>
        <v/>
      </c>
      <c r="W45">
        <f>HYPERLINK("https://klasma.github.io/Logging_0192/klagomålsmail/A 62007-2023 FSC-klagomål mail.docx", "A 62007-2023")</f>
        <v/>
      </c>
      <c r="X45">
        <f>HYPERLINK("https://klasma.github.io/Logging_0192/tillsyn/A 62007-2023 tillsynsbegäran.docx", "A 62007-2023")</f>
        <v/>
      </c>
      <c r="Y45">
        <f>HYPERLINK("https://klasma.github.io/Logging_0192/tillsynsmail/A 62007-2023 tillsynsbegäran mail.docx", "A 62007-2023")</f>
        <v/>
      </c>
    </row>
    <row r="46" ht="15" customHeight="1">
      <c r="A46" t="inlineStr">
        <is>
          <t>A 64196-2023</t>
        </is>
      </c>
      <c r="B46" s="1" t="n">
        <v>45279</v>
      </c>
      <c r="C46" s="1" t="n">
        <v>45789</v>
      </c>
      <c r="D46" t="inlineStr">
        <is>
          <t>STOCKHOLMS LÄN</t>
        </is>
      </c>
      <c r="E46" t="inlineStr">
        <is>
          <t>NYNÄSHAMN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HYPERLINK("https://klasma.github.io/Logging_0192/artfynd/A 64196-2023 artfynd.xlsx", "A 64196-2023")</f>
        <v/>
      </c>
      <c r="T46">
        <f>HYPERLINK("https://klasma.github.io/Logging_0192/kartor/A 64196-2023 karta.png", "A 64196-2023")</f>
        <v/>
      </c>
      <c r="V46">
        <f>HYPERLINK("https://klasma.github.io/Logging_0192/klagomål/A 64196-2023 FSC-klagomål.docx", "A 64196-2023")</f>
        <v/>
      </c>
      <c r="W46">
        <f>HYPERLINK("https://klasma.github.io/Logging_0192/klagomålsmail/A 64196-2023 FSC-klagomål mail.docx", "A 64196-2023")</f>
        <v/>
      </c>
      <c r="X46">
        <f>HYPERLINK("https://klasma.github.io/Logging_0192/tillsyn/A 64196-2023 tillsynsbegäran.docx", "A 64196-2023")</f>
        <v/>
      </c>
      <c r="Y46">
        <f>HYPERLINK("https://klasma.github.io/Logging_0192/tillsynsmail/A 64196-2023 tillsynsbegäran mail.docx", "A 64196-2023")</f>
        <v/>
      </c>
    </row>
    <row r="47" ht="15" customHeight="1">
      <c r="A47" t="inlineStr">
        <is>
          <t>A 5946-2024</t>
        </is>
      </c>
      <c r="B47" s="1" t="n">
        <v>45336</v>
      </c>
      <c r="C47" s="1" t="n">
        <v>45789</v>
      </c>
      <c r="D47" t="inlineStr">
        <is>
          <t>STOCKHOLMS LÄN</t>
        </is>
      </c>
      <c r="E47" t="inlineStr">
        <is>
          <t>NYNÄSHAMN</t>
        </is>
      </c>
      <c r="G47" t="n">
        <v>15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HYPERLINK("https://klasma.github.io/Logging_0192/artfynd/A 5946-2024 artfynd.xlsx", "A 5946-2024")</f>
        <v/>
      </c>
      <c r="T47">
        <f>HYPERLINK("https://klasma.github.io/Logging_0192/kartor/A 5946-2024 karta.png", "A 5946-2024")</f>
        <v/>
      </c>
      <c r="V47">
        <f>HYPERLINK("https://klasma.github.io/Logging_0192/klagomål/A 5946-2024 FSC-klagomål.docx", "A 5946-2024")</f>
        <v/>
      </c>
      <c r="W47">
        <f>HYPERLINK("https://klasma.github.io/Logging_0192/klagomålsmail/A 5946-2024 FSC-klagomål mail.docx", "A 5946-2024")</f>
        <v/>
      </c>
      <c r="X47">
        <f>HYPERLINK("https://klasma.github.io/Logging_0192/tillsyn/A 5946-2024 tillsynsbegäran.docx", "A 5946-2024")</f>
        <v/>
      </c>
      <c r="Y47">
        <f>HYPERLINK("https://klasma.github.io/Logging_0192/tillsynsmail/A 5946-2024 tillsynsbegäran mail.docx", "A 5946-2024")</f>
        <v/>
      </c>
    </row>
    <row r="48" ht="15" customHeight="1">
      <c r="A48" t="inlineStr">
        <is>
          <t>A 40806-2024</t>
        </is>
      </c>
      <c r="B48" s="1" t="n">
        <v>45558</v>
      </c>
      <c r="C48" s="1" t="n">
        <v>45789</v>
      </c>
      <c r="D48" t="inlineStr">
        <is>
          <t>STOCKHOLMS LÄN</t>
        </is>
      </c>
      <c r="E48" t="inlineStr">
        <is>
          <t>NYNÄSHAMN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HYPERLINK("https://klasma.github.io/Logging_0192/artfynd/A 40806-2024 artfynd.xlsx", "A 40806-2024")</f>
        <v/>
      </c>
      <c r="T48">
        <f>HYPERLINK("https://klasma.github.io/Logging_0192/kartor/A 40806-2024 karta.png", "A 40806-2024")</f>
        <v/>
      </c>
      <c r="V48">
        <f>HYPERLINK("https://klasma.github.io/Logging_0192/klagomål/A 40806-2024 FSC-klagomål.docx", "A 40806-2024")</f>
        <v/>
      </c>
      <c r="W48">
        <f>HYPERLINK("https://klasma.github.io/Logging_0192/klagomålsmail/A 40806-2024 FSC-klagomål mail.docx", "A 40806-2024")</f>
        <v/>
      </c>
      <c r="X48">
        <f>HYPERLINK("https://klasma.github.io/Logging_0192/tillsyn/A 40806-2024 tillsynsbegäran.docx", "A 40806-2024")</f>
        <v/>
      </c>
      <c r="Y48">
        <f>HYPERLINK("https://klasma.github.io/Logging_0192/tillsynsmail/A 40806-2024 tillsynsbegäran mail.docx", "A 40806-2024")</f>
        <v/>
      </c>
    </row>
    <row r="49" ht="15" customHeight="1">
      <c r="A49" t="inlineStr">
        <is>
          <t>A 52924-2024</t>
        </is>
      </c>
      <c r="B49" s="1" t="n">
        <v>45610</v>
      </c>
      <c r="C49" s="1" t="n">
        <v>45789</v>
      </c>
      <c r="D49" t="inlineStr">
        <is>
          <t>STOCKHOLMS LÄN</t>
        </is>
      </c>
      <c r="E49" t="inlineStr">
        <is>
          <t>NYNÄSHAMN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HYPERLINK("https://klasma.github.io/Logging_0192/artfynd/A 52924-2024 artfynd.xlsx", "A 52924-2024")</f>
        <v/>
      </c>
      <c r="T49">
        <f>HYPERLINK("https://klasma.github.io/Logging_0192/kartor/A 52924-2024 karta.png", "A 52924-2024")</f>
        <v/>
      </c>
      <c r="V49">
        <f>HYPERLINK("https://klasma.github.io/Logging_0192/klagomål/A 52924-2024 FSC-klagomål.docx", "A 52924-2024")</f>
        <v/>
      </c>
      <c r="W49">
        <f>HYPERLINK("https://klasma.github.io/Logging_0192/klagomålsmail/A 52924-2024 FSC-klagomål mail.docx", "A 52924-2024")</f>
        <v/>
      </c>
      <c r="X49">
        <f>HYPERLINK("https://klasma.github.io/Logging_0192/tillsyn/A 52924-2024 tillsynsbegäran.docx", "A 52924-2024")</f>
        <v/>
      </c>
      <c r="Y49">
        <f>HYPERLINK("https://klasma.github.io/Logging_0192/tillsynsmail/A 52924-2024 tillsynsbegäran mail.docx", "A 52924-2024")</f>
        <v/>
      </c>
      <c r="Z49">
        <f>HYPERLINK("https://klasma.github.io/Logging_0192/fåglar/A 52924-2024 prioriterade fågelarter.docx", "A 52924-2024")</f>
        <v/>
      </c>
    </row>
    <row r="50" ht="15" customHeight="1">
      <c r="A50" t="inlineStr">
        <is>
          <t>A 23783-2019</t>
        </is>
      </c>
      <c r="B50" s="1" t="n">
        <v>43592</v>
      </c>
      <c r="C50" s="1" t="n">
        <v>45789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23444-2019</t>
        </is>
      </c>
      <c r="B51" s="1" t="n">
        <v>43592</v>
      </c>
      <c r="C51" s="1" t="n">
        <v>45789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24360-2019</t>
        </is>
      </c>
      <c r="B52" s="1" t="n">
        <v>43599</v>
      </c>
      <c r="C52" s="1" t="n">
        <v>45789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31382-2019</t>
        </is>
      </c>
      <c r="B53" s="1" t="n">
        <v>43641</v>
      </c>
      <c r="C53" s="1" t="n">
        <v>45789</v>
      </c>
      <c r="D53" t="inlineStr">
        <is>
          <t>STOCKHOLMS LÄN</t>
        </is>
      </c>
      <c r="E53" t="inlineStr">
        <is>
          <t>NYNÄSHAMN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31971-2019</t>
        </is>
      </c>
      <c r="B54" s="1" t="n">
        <v>43643</v>
      </c>
      <c r="C54" s="1" t="n">
        <v>45789</v>
      </c>
      <c r="D54" t="inlineStr">
        <is>
          <t>STOCKHOLMS LÄN</t>
        </is>
      </c>
      <c r="E54" t="inlineStr">
        <is>
          <t>NYNÄSHAMN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31976-2019</t>
        </is>
      </c>
      <c r="B55" s="1" t="n">
        <v>43643</v>
      </c>
      <c r="C55" s="1" t="n">
        <v>45789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36135-2019</t>
        </is>
      </c>
      <c r="B56" s="1" t="n">
        <v>43668</v>
      </c>
      <c r="C56" s="1" t="n">
        <v>45789</v>
      </c>
      <c r="D56" t="inlineStr">
        <is>
          <t>STOCKHOLMS LÄN</t>
        </is>
      </c>
      <c r="E56" t="inlineStr">
        <is>
          <t>NYNÄSHAMN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39663-2019</t>
        </is>
      </c>
      <c r="B57" s="1" t="n">
        <v>43691</v>
      </c>
      <c r="C57" s="1" t="n">
        <v>45789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44453-2019</t>
        </is>
      </c>
      <c r="B58" s="1" t="n">
        <v>43711</v>
      </c>
      <c r="C58" s="1" t="n">
        <v>45789</v>
      </c>
      <c r="D58" t="inlineStr">
        <is>
          <t>STOCKHOLMS LÄN</t>
        </is>
      </c>
      <c r="E58" t="inlineStr">
        <is>
          <t>NYNÄSHAMN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49840-2019</t>
        </is>
      </c>
      <c r="B59" s="1" t="n">
        <v>43733</v>
      </c>
      <c r="C59" s="1" t="n">
        <v>45789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64617-2019</t>
        </is>
      </c>
      <c r="B60" s="1" t="n">
        <v>43798</v>
      </c>
      <c r="C60" s="1" t="n">
        <v>45789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66589-2019</t>
        </is>
      </c>
      <c r="B61" s="1" t="n">
        <v>43809</v>
      </c>
      <c r="C61" s="1" t="n">
        <v>45789</v>
      </c>
      <c r="D61" t="inlineStr">
        <is>
          <t>STOCKHOLMS LÄN</t>
        </is>
      </c>
      <c r="E61" t="inlineStr">
        <is>
          <t>NYNÄSHAMN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461-2020</t>
        </is>
      </c>
      <c r="B62" s="1" t="n">
        <v>43837</v>
      </c>
      <c r="C62" s="1" t="n">
        <v>45789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464-2020</t>
        </is>
      </c>
      <c r="B63" s="1" t="n">
        <v>43837</v>
      </c>
      <c r="C63" s="1" t="n">
        <v>45789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1669-2020</t>
        </is>
      </c>
      <c r="B64" s="1" t="n">
        <v>43844</v>
      </c>
      <c r="C64" s="1" t="n">
        <v>45789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1789-2020</t>
        </is>
      </c>
      <c r="B65" s="1" t="n">
        <v>43844</v>
      </c>
      <c r="C65" s="1" t="n">
        <v>45789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2671-2020</t>
        </is>
      </c>
      <c r="B66" s="1" t="n">
        <v>43849</v>
      </c>
      <c r="C66" s="1" t="n">
        <v>45789</v>
      </c>
      <c r="D66" t="inlineStr">
        <is>
          <t>STOCKHOLMS LÄN</t>
        </is>
      </c>
      <c r="E66" t="inlineStr">
        <is>
          <t>NYNÄSHAMN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3144-2020</t>
        </is>
      </c>
      <c r="B67" s="1" t="n">
        <v>43851</v>
      </c>
      <c r="C67" s="1" t="n">
        <v>45789</v>
      </c>
      <c r="D67" t="inlineStr">
        <is>
          <t>STOCKHOLMS LÄN</t>
        </is>
      </c>
      <c r="E67" t="inlineStr">
        <is>
          <t>NYNÄSHAMN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3952-2020</t>
        </is>
      </c>
      <c r="B68" s="1" t="n">
        <v>43854</v>
      </c>
      <c r="C68" s="1" t="n">
        <v>45789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5406-2020</t>
        </is>
      </c>
      <c r="B69" s="1" t="n">
        <v>43860</v>
      </c>
      <c r="C69" s="1" t="n">
        <v>45789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6219-2020</t>
        </is>
      </c>
      <c r="B70" s="1" t="n">
        <v>43865</v>
      </c>
      <c r="C70" s="1" t="n">
        <v>45789</v>
      </c>
      <c r="D70" t="inlineStr">
        <is>
          <t>STOCKHOLMS LÄN</t>
        </is>
      </c>
      <c r="E70" t="inlineStr">
        <is>
          <t>NYNÄSHAMN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7150-2020</t>
        </is>
      </c>
      <c r="B71" s="1" t="n">
        <v>43869</v>
      </c>
      <c r="C71" s="1" t="n">
        <v>45789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7923-2020</t>
        </is>
      </c>
      <c r="B72" s="1" t="n">
        <v>43873</v>
      </c>
      <c r="C72" s="1" t="n">
        <v>45789</v>
      </c>
      <c r="D72" t="inlineStr">
        <is>
          <t>STOCKHOLMS LÄN</t>
        </is>
      </c>
      <c r="E72" t="inlineStr">
        <is>
          <t>NYNÄSHAMN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10007-2020</t>
        </is>
      </c>
      <c r="B73" s="1" t="n">
        <v>43882</v>
      </c>
      <c r="C73" s="1" t="n">
        <v>45789</v>
      </c>
      <c r="D73" t="inlineStr">
        <is>
          <t>STOCKHOLMS LÄN</t>
        </is>
      </c>
      <c r="E73" t="inlineStr">
        <is>
          <t>NYNÄSHAMN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10396-2020</t>
        </is>
      </c>
      <c r="B74" s="1" t="n">
        <v>43885</v>
      </c>
      <c r="C74" s="1" t="n">
        <v>45789</v>
      </c>
      <c r="D74" t="inlineStr">
        <is>
          <t>STOCKHOLMS LÄN</t>
        </is>
      </c>
      <c r="E74" t="inlineStr">
        <is>
          <t>NYNÄSHAMN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12571-2020</t>
        </is>
      </c>
      <c r="B75" s="1" t="n">
        <v>43899</v>
      </c>
      <c r="C75" s="1" t="n">
        <v>45789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13639-2020</t>
        </is>
      </c>
      <c r="B76" s="1" t="n">
        <v>43903</v>
      </c>
      <c r="C76" s="1" t="n">
        <v>45789</v>
      </c>
      <c r="D76" t="inlineStr">
        <is>
          <t>STOCKHOLMS LÄN</t>
        </is>
      </c>
      <c r="E76" t="inlineStr">
        <is>
          <t>NYNÄSHAMN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13679-2020</t>
        </is>
      </c>
      <c r="B77" s="1" t="n">
        <v>43903</v>
      </c>
      <c r="C77" s="1" t="n">
        <v>45789</v>
      </c>
      <c r="D77" t="inlineStr">
        <is>
          <t>STOCKHOLMS LÄN</t>
        </is>
      </c>
      <c r="E77" t="inlineStr">
        <is>
          <t>NYNÄSHAMN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13676-2020</t>
        </is>
      </c>
      <c r="B78" s="1" t="n">
        <v>43903</v>
      </c>
      <c r="C78" s="1" t="n">
        <v>45789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15354-2020</t>
        </is>
      </c>
      <c r="B79" s="1" t="n">
        <v>43913</v>
      </c>
      <c r="C79" s="1" t="n">
        <v>45789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20600-2020</t>
        </is>
      </c>
      <c r="B80" s="1" t="n">
        <v>43948</v>
      </c>
      <c r="C80" s="1" t="n">
        <v>45789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20673-2020</t>
        </is>
      </c>
      <c r="B81" s="1" t="n">
        <v>43949</v>
      </c>
      <c r="C81" s="1" t="n">
        <v>45789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23364-2020</t>
        </is>
      </c>
      <c r="B82" s="1" t="n">
        <v>43967</v>
      </c>
      <c r="C82" s="1" t="n">
        <v>45789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23363-2020</t>
        </is>
      </c>
      <c r="B83" s="1" t="n">
        <v>43967</v>
      </c>
      <c r="C83" s="1" t="n">
        <v>45789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23447-2020</t>
        </is>
      </c>
      <c r="B84" s="1" t="n">
        <v>43969</v>
      </c>
      <c r="C84" s="1" t="n">
        <v>45789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23442-2020</t>
        </is>
      </c>
      <c r="B85" s="1" t="n">
        <v>43969</v>
      </c>
      <c r="C85" s="1" t="n">
        <v>45789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27794-2020</t>
        </is>
      </c>
      <c r="B86" s="1" t="n">
        <v>43994</v>
      </c>
      <c r="C86" s="1" t="n">
        <v>45789</v>
      </c>
      <c r="D86" t="inlineStr">
        <is>
          <t>STOCKHOLMS LÄN</t>
        </is>
      </c>
      <c r="E86" t="inlineStr">
        <is>
          <t>NYNÄSHAMN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29113-2020</t>
        </is>
      </c>
      <c r="B87" s="1" t="n">
        <v>44003</v>
      </c>
      <c r="C87" s="1" t="n">
        <v>45789</v>
      </c>
      <c r="D87" t="inlineStr">
        <is>
          <t>STOCKHOLMS LÄN</t>
        </is>
      </c>
      <c r="E87" t="inlineStr">
        <is>
          <t>NYNÄSHAMN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36865-2020</t>
        </is>
      </c>
      <c r="B88" s="1" t="n">
        <v>44053</v>
      </c>
      <c r="C88" s="1" t="n">
        <v>45789</v>
      </c>
      <c r="D88" t="inlineStr">
        <is>
          <t>STOCKHOLMS LÄN</t>
        </is>
      </c>
      <c r="E88" t="inlineStr">
        <is>
          <t>NYNÄSHAMN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45732-2020</t>
        </is>
      </c>
      <c r="B89" s="1" t="n">
        <v>44090</v>
      </c>
      <c r="C89" s="1" t="n">
        <v>45789</v>
      </c>
      <c r="D89" t="inlineStr">
        <is>
          <t>STOCKHOLMS LÄN</t>
        </is>
      </c>
      <c r="E89" t="inlineStr">
        <is>
          <t>NYNÄSHAMN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45859-2020</t>
        </is>
      </c>
      <c r="B90" s="1" t="n">
        <v>44091</v>
      </c>
      <c r="C90" s="1" t="n">
        <v>45789</v>
      </c>
      <c r="D90" t="inlineStr">
        <is>
          <t>STOCKHOLMS LÄN</t>
        </is>
      </c>
      <c r="E90" t="inlineStr">
        <is>
          <t>NYNÄSHAMN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52806-2020</t>
        </is>
      </c>
      <c r="B91" s="1" t="n">
        <v>44119</v>
      </c>
      <c r="C91" s="1" t="n">
        <v>45789</v>
      </c>
      <c r="D91" t="inlineStr">
        <is>
          <t>STOCKHOLMS LÄN</t>
        </is>
      </c>
      <c r="E91" t="inlineStr">
        <is>
          <t>NYNÄSHAMN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56608-2020</t>
        </is>
      </c>
      <c r="B92" s="1" t="n">
        <v>44133</v>
      </c>
      <c r="C92" s="1" t="n">
        <v>45789</v>
      </c>
      <c r="D92" t="inlineStr">
        <is>
          <t>STOCKHOLMS LÄN</t>
        </is>
      </c>
      <c r="E92" t="inlineStr">
        <is>
          <t>NYNÄSHAMN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65118-2020</t>
        </is>
      </c>
      <c r="B93" s="1" t="n">
        <v>44172</v>
      </c>
      <c r="C93" s="1" t="n">
        <v>45789</v>
      </c>
      <c r="D93" t="inlineStr">
        <is>
          <t>STOCKHOLMS LÄN</t>
        </is>
      </c>
      <c r="E93" t="inlineStr">
        <is>
          <t>NYNÄSHAMN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69183-2020</t>
        </is>
      </c>
      <c r="B94" s="1" t="n">
        <v>44190</v>
      </c>
      <c r="C94" s="1" t="n">
        <v>45789</v>
      </c>
      <c r="D94" t="inlineStr">
        <is>
          <t>STOCKHOLMS LÄN</t>
        </is>
      </c>
      <c r="E94" t="inlineStr">
        <is>
          <t>NYNÄSHAMN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2295-2021</t>
        </is>
      </c>
      <c r="B95" s="1" t="n">
        <v>44212</v>
      </c>
      <c r="C95" s="1" t="n">
        <v>45789</v>
      </c>
      <c r="D95" t="inlineStr">
        <is>
          <t>STOCKHOLMS LÄN</t>
        </is>
      </c>
      <c r="E95" t="inlineStr">
        <is>
          <t>NYNÄSHAMN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2751-2021</t>
        </is>
      </c>
      <c r="B96" s="1" t="n">
        <v>44215</v>
      </c>
      <c r="C96" s="1" t="n">
        <v>45789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2867-2021</t>
        </is>
      </c>
      <c r="B97" s="1" t="n">
        <v>44216</v>
      </c>
      <c r="C97" s="1" t="n">
        <v>45789</v>
      </c>
      <c r="D97" t="inlineStr">
        <is>
          <t>STOCKHOLMS LÄN</t>
        </is>
      </c>
      <c r="E97" t="inlineStr">
        <is>
          <t>NYNÄSHAMN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2858-2021</t>
        </is>
      </c>
      <c r="B98" s="1" t="n">
        <v>44216</v>
      </c>
      <c r="C98" s="1" t="n">
        <v>45789</v>
      </c>
      <c r="D98" t="inlineStr">
        <is>
          <t>STOCKHOLMS LÄN</t>
        </is>
      </c>
      <c r="E98" t="inlineStr">
        <is>
          <t>NYNÄSHAMN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4354-2021</t>
        </is>
      </c>
      <c r="B99" s="1" t="n">
        <v>44223</v>
      </c>
      <c r="C99" s="1" t="n">
        <v>45789</v>
      </c>
      <c r="D99" t="inlineStr">
        <is>
          <t>STOCKHOLMS LÄN</t>
        </is>
      </c>
      <c r="E99" t="inlineStr">
        <is>
          <t>NYNÄSHAMN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7683-2021</t>
        </is>
      </c>
      <c r="B100" s="1" t="n">
        <v>44242</v>
      </c>
      <c r="C100" s="1" t="n">
        <v>45789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10527-2021</t>
        </is>
      </c>
      <c r="B101" s="1" t="n">
        <v>44258</v>
      </c>
      <c r="C101" s="1" t="n">
        <v>45789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10525-2021</t>
        </is>
      </c>
      <c r="B102" s="1" t="n">
        <v>44258</v>
      </c>
      <c r="C102" s="1" t="n">
        <v>45789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11841-2021</t>
        </is>
      </c>
      <c r="B103" s="1" t="n">
        <v>44265</v>
      </c>
      <c r="C103" s="1" t="n">
        <v>45789</v>
      </c>
      <c r="D103" t="inlineStr">
        <is>
          <t>STOCKHOLMS LÄN</t>
        </is>
      </c>
      <c r="E103" t="inlineStr">
        <is>
          <t>NYNÄSHAMN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15560-2021</t>
        </is>
      </c>
      <c r="B104" s="1" t="n">
        <v>44285</v>
      </c>
      <c r="C104" s="1" t="n">
        <v>45789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15609-2021</t>
        </is>
      </c>
      <c r="B105" s="1" t="n">
        <v>44285</v>
      </c>
      <c r="C105" s="1" t="n">
        <v>45789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17835-2021</t>
        </is>
      </c>
      <c r="B106" s="1" t="n">
        <v>44300</v>
      </c>
      <c r="C106" s="1" t="n">
        <v>45789</v>
      </c>
      <c r="D106" t="inlineStr">
        <is>
          <t>STOCKHOLMS LÄN</t>
        </is>
      </c>
      <c r="E106" t="inlineStr">
        <is>
          <t>NYNÄSHAMN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23339-2021</t>
        </is>
      </c>
      <c r="B107" s="1" t="n">
        <v>44333</v>
      </c>
      <c r="C107" s="1" t="n">
        <v>45789</v>
      </c>
      <c r="D107" t="inlineStr">
        <is>
          <t>STOCKHOLMS LÄN</t>
        </is>
      </c>
      <c r="E107" t="inlineStr">
        <is>
          <t>NYNÄSHAMN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24805-2021</t>
        </is>
      </c>
      <c r="B108" s="1" t="n">
        <v>44340</v>
      </c>
      <c r="C108" s="1" t="n">
        <v>45789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25334-2021</t>
        </is>
      </c>
      <c r="B109" s="1" t="n">
        <v>44342</v>
      </c>
      <c r="C109" s="1" t="n">
        <v>45789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26757-2021</t>
        </is>
      </c>
      <c r="B110" s="1" t="n">
        <v>44349</v>
      </c>
      <c r="C110" s="1" t="n">
        <v>45789</v>
      </c>
      <c r="D110" t="inlineStr">
        <is>
          <t>STOCKHOLMS LÄN</t>
        </is>
      </c>
      <c r="E110" t="inlineStr">
        <is>
          <t>NYNÄSHAMN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26750-2021</t>
        </is>
      </c>
      <c r="B111" s="1" t="n">
        <v>44349</v>
      </c>
      <c r="C111" s="1" t="n">
        <v>45789</v>
      </c>
      <c r="D111" t="inlineStr">
        <is>
          <t>STOCKHOLMS LÄN</t>
        </is>
      </c>
      <c r="E111" t="inlineStr">
        <is>
          <t>NYNÄSHAMN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26767-2021</t>
        </is>
      </c>
      <c r="B112" s="1" t="n">
        <v>44349</v>
      </c>
      <c r="C112" s="1" t="n">
        <v>45789</v>
      </c>
      <c r="D112" t="inlineStr">
        <is>
          <t>STOCKHOLMS LÄN</t>
        </is>
      </c>
      <c r="E112" t="inlineStr">
        <is>
          <t>NYNÄSHAMN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34818-2021</t>
        </is>
      </c>
      <c r="B113" s="1" t="n">
        <v>44383</v>
      </c>
      <c r="C113" s="1" t="n">
        <v>45789</v>
      </c>
      <c r="D113" t="inlineStr">
        <is>
          <t>STOCKHOLMS LÄN</t>
        </is>
      </c>
      <c r="E113" t="inlineStr">
        <is>
          <t>NYNÄSHAMN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37097-2021</t>
        </is>
      </c>
      <c r="B114" s="1" t="n">
        <v>44395</v>
      </c>
      <c r="C114" s="1" t="n">
        <v>45789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37098-2021</t>
        </is>
      </c>
      <c r="B115" s="1" t="n">
        <v>44396</v>
      </c>
      <c r="C115" s="1" t="n">
        <v>45789</v>
      </c>
      <c r="D115" t="inlineStr">
        <is>
          <t>STOCKHOLMS LÄN</t>
        </is>
      </c>
      <c r="E115" t="inlineStr">
        <is>
          <t>NYNÄSHAMN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37103-2021</t>
        </is>
      </c>
      <c r="B116" s="1" t="n">
        <v>44396</v>
      </c>
      <c r="C116" s="1" t="n">
        <v>45789</v>
      </c>
      <c r="D116" t="inlineStr">
        <is>
          <t>STOCKHOLMS LÄN</t>
        </is>
      </c>
      <c r="E116" t="inlineStr">
        <is>
          <t>NYNÄSHAMN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37101-2021</t>
        </is>
      </c>
      <c r="B117" s="1" t="n">
        <v>44396</v>
      </c>
      <c r="C117" s="1" t="n">
        <v>45789</v>
      </c>
      <c r="D117" t="inlineStr">
        <is>
          <t>STOCKHOLMS LÄN</t>
        </is>
      </c>
      <c r="E117" t="inlineStr">
        <is>
          <t>NYNÄSHAMN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37099-2021</t>
        </is>
      </c>
      <c r="B118" s="1" t="n">
        <v>44396</v>
      </c>
      <c r="C118" s="1" t="n">
        <v>45789</v>
      </c>
      <c r="D118" t="inlineStr">
        <is>
          <t>STOCKHOLMS LÄN</t>
        </is>
      </c>
      <c r="E118" t="inlineStr">
        <is>
          <t>NYNÄSHAMN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37104-2021</t>
        </is>
      </c>
      <c r="B119" s="1" t="n">
        <v>44396</v>
      </c>
      <c r="C119" s="1" t="n">
        <v>45789</v>
      </c>
      <c r="D119" t="inlineStr">
        <is>
          <t>STOCKHOLMS LÄN</t>
        </is>
      </c>
      <c r="E119" t="inlineStr">
        <is>
          <t>NYNÄSHAMN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37422-2021</t>
        </is>
      </c>
      <c r="B120" s="1" t="n">
        <v>44398</v>
      </c>
      <c r="C120" s="1" t="n">
        <v>45789</v>
      </c>
      <c r="D120" t="inlineStr">
        <is>
          <t>STOCKHOLMS LÄN</t>
        </is>
      </c>
      <c r="E120" t="inlineStr">
        <is>
          <t>NYNÄSHAMN</t>
        </is>
      </c>
      <c r="G120" t="n">
        <v>25.8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38771-2021</t>
        </is>
      </c>
      <c r="B121" s="1" t="n">
        <v>44410</v>
      </c>
      <c r="C121" s="1" t="n">
        <v>45789</v>
      </c>
      <c r="D121" t="inlineStr">
        <is>
          <t>STOCKHOLMS LÄN</t>
        </is>
      </c>
      <c r="E121" t="inlineStr">
        <is>
          <t>NYNÄSHAMN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38752-2021</t>
        </is>
      </c>
      <c r="B122" s="1" t="n">
        <v>44410</v>
      </c>
      <c r="C122" s="1" t="n">
        <v>45789</v>
      </c>
      <c r="D122" t="inlineStr">
        <is>
          <t>STOCKHOLMS LÄN</t>
        </is>
      </c>
      <c r="E122" t="inlineStr">
        <is>
          <t>NYNÄSHAMN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40158-2021</t>
        </is>
      </c>
      <c r="B123" s="1" t="n">
        <v>44418</v>
      </c>
      <c r="C123" s="1" t="n">
        <v>45789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40183-2021</t>
        </is>
      </c>
      <c r="B124" s="1" t="n">
        <v>44418</v>
      </c>
      <c r="C124" s="1" t="n">
        <v>45789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40143-2021</t>
        </is>
      </c>
      <c r="B125" s="1" t="n">
        <v>44418</v>
      </c>
      <c r="C125" s="1" t="n">
        <v>45789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40753-2021</t>
        </is>
      </c>
      <c r="B126" s="1" t="n">
        <v>44420</v>
      </c>
      <c r="C126" s="1" t="n">
        <v>45789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41378-2021</t>
        </is>
      </c>
      <c r="B127" s="1" t="n">
        <v>44424</v>
      </c>
      <c r="C127" s="1" t="n">
        <v>45789</v>
      </c>
      <c r="D127" t="inlineStr">
        <is>
          <t>STOCKHOLMS LÄN</t>
        </is>
      </c>
      <c r="E127" t="inlineStr">
        <is>
          <t>NYNÄSHAMN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41281-2021</t>
        </is>
      </c>
      <c r="B128" s="1" t="n">
        <v>44424</v>
      </c>
      <c r="C128" s="1" t="n">
        <v>45789</v>
      </c>
      <c r="D128" t="inlineStr">
        <is>
          <t>STOCKHOLMS LÄN</t>
        </is>
      </c>
      <c r="E128" t="inlineStr">
        <is>
          <t>NYNÄSHAMN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49657-2021</t>
        </is>
      </c>
      <c r="B129" s="1" t="n">
        <v>44455</v>
      </c>
      <c r="C129" s="1" t="n">
        <v>45789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63931-2021</t>
        </is>
      </c>
      <c r="B130" s="1" t="n">
        <v>44509</v>
      </c>
      <c r="C130" s="1" t="n">
        <v>45789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70850-2021</t>
        </is>
      </c>
      <c r="B131" s="1" t="n">
        <v>44538</v>
      </c>
      <c r="C131" s="1" t="n">
        <v>45789</v>
      </c>
      <c r="D131" t="inlineStr">
        <is>
          <t>STOCKHOLMS LÄN</t>
        </is>
      </c>
      <c r="E131" t="inlineStr">
        <is>
          <t>NYNÄSHAMN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73963-2021</t>
        </is>
      </c>
      <c r="B132" s="1" t="n">
        <v>44553</v>
      </c>
      <c r="C132" s="1" t="n">
        <v>45789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73967-2021</t>
        </is>
      </c>
      <c r="B133" s="1" t="n">
        <v>44553</v>
      </c>
      <c r="C133" s="1" t="n">
        <v>45789</v>
      </c>
      <c r="D133" t="inlineStr">
        <is>
          <t>STOCKHOLMS LÄN</t>
        </is>
      </c>
      <c r="E133" t="inlineStr">
        <is>
          <t>NYNÄSHAMN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73966-2021</t>
        </is>
      </c>
      <c r="B134" s="1" t="n">
        <v>44553</v>
      </c>
      <c r="C134" s="1" t="n">
        <v>45789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1658-2022</t>
        </is>
      </c>
      <c r="B135" s="1" t="n">
        <v>44574</v>
      </c>
      <c r="C135" s="1" t="n">
        <v>45789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2677-2022</t>
        </is>
      </c>
      <c r="B136" s="1" t="n">
        <v>44580</v>
      </c>
      <c r="C136" s="1" t="n">
        <v>45789</v>
      </c>
      <c r="D136" t="inlineStr">
        <is>
          <t>STOCKHOLMS LÄN</t>
        </is>
      </c>
      <c r="E136" t="inlineStr">
        <is>
          <t>NYNÄSHAMN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2688-2022</t>
        </is>
      </c>
      <c r="B137" s="1" t="n">
        <v>44580</v>
      </c>
      <c r="C137" s="1" t="n">
        <v>45789</v>
      </c>
      <c r="D137" t="inlineStr">
        <is>
          <t>STOCKHOLMS LÄN</t>
        </is>
      </c>
      <c r="E137" t="inlineStr">
        <is>
          <t>NYNÄSHAMN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</v>
      </c>
      <c r="C138" s="1" t="n">
        <v>45789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6846-2022</t>
        </is>
      </c>
      <c r="B139" s="1" t="n">
        <v>44602</v>
      </c>
      <c r="C139" s="1" t="n">
        <v>45789</v>
      </c>
      <c r="D139" t="inlineStr">
        <is>
          <t>STOCKHOLMS LÄN</t>
        </is>
      </c>
      <c r="E139" t="inlineStr">
        <is>
          <t>NYNÄSHAMN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9964-2022</t>
        </is>
      </c>
      <c r="B140" s="1" t="n">
        <v>44621</v>
      </c>
      <c r="C140" s="1" t="n">
        <v>45789</v>
      </c>
      <c r="D140" t="inlineStr">
        <is>
          <t>STOCKHOLMS LÄN</t>
        </is>
      </c>
      <c r="E140" t="inlineStr">
        <is>
          <t>NYNÄSHAMN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17634-2022</t>
        </is>
      </c>
      <c r="B141" s="1" t="n">
        <v>44680</v>
      </c>
      <c r="C141" s="1" t="n">
        <v>45789</v>
      </c>
      <c r="D141" t="inlineStr">
        <is>
          <t>STOCKHOLMS LÄN</t>
        </is>
      </c>
      <c r="E141" t="inlineStr">
        <is>
          <t>NYNÄSHAMN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26190-2022</t>
        </is>
      </c>
      <c r="B142" s="1" t="n">
        <v>44735</v>
      </c>
      <c r="C142" s="1" t="n">
        <v>45789</v>
      </c>
      <c r="D142" t="inlineStr">
        <is>
          <t>STOCKHOLMS LÄN</t>
        </is>
      </c>
      <c r="E142" t="inlineStr">
        <is>
          <t>NYNÄSHAMN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33667-2022</t>
        </is>
      </c>
      <c r="B143" s="1" t="n">
        <v>44789</v>
      </c>
      <c r="C143" s="1" t="n">
        <v>45789</v>
      </c>
      <c r="D143" t="inlineStr">
        <is>
          <t>STOCKHOLMS LÄN</t>
        </is>
      </c>
      <c r="E143" t="inlineStr">
        <is>
          <t>NYNÄSHAMN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37491-2022</t>
        </is>
      </c>
      <c r="B144" s="1" t="n">
        <v>44809</v>
      </c>
      <c r="C144" s="1" t="n">
        <v>45789</v>
      </c>
      <c r="D144" t="inlineStr">
        <is>
          <t>STOCKHOLMS LÄN</t>
        </is>
      </c>
      <c r="E144" t="inlineStr">
        <is>
          <t>NYNÄSHAMN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48309-2022</t>
        </is>
      </c>
      <c r="B145" s="1" t="n">
        <v>44854</v>
      </c>
      <c r="C145" s="1" t="n">
        <v>45789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53730-2022</t>
        </is>
      </c>
      <c r="B146" s="1" t="n">
        <v>44875</v>
      </c>
      <c r="C146" s="1" t="n">
        <v>45789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60977-2022</t>
        </is>
      </c>
      <c r="B147" s="1" t="n">
        <v>44908</v>
      </c>
      <c r="C147" s="1" t="n">
        <v>45789</v>
      </c>
      <c r="D147" t="inlineStr">
        <is>
          <t>STOCKHOLMS LÄN</t>
        </is>
      </c>
      <c r="E147" t="inlineStr">
        <is>
          <t>NYNÄSHAMN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62634-2022</t>
        </is>
      </c>
      <c r="B148" s="1" t="n">
        <v>44917</v>
      </c>
      <c r="C148" s="1" t="n">
        <v>45789</v>
      </c>
      <c r="D148" t="inlineStr">
        <is>
          <t>STOCKHOLMS LÄN</t>
        </is>
      </c>
      <c r="E148" t="inlineStr">
        <is>
          <t>NYNÄSHAMN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2170-2023</t>
        </is>
      </c>
      <c r="B149" s="1" t="n">
        <v>44941</v>
      </c>
      <c r="C149" s="1" t="n">
        <v>45789</v>
      </c>
      <c r="D149" t="inlineStr">
        <is>
          <t>STOCKHOLMS LÄN</t>
        </is>
      </c>
      <c r="E149" t="inlineStr">
        <is>
          <t>NYNÄSHAMN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2261-2023</t>
        </is>
      </c>
      <c r="B150" s="1" t="n">
        <v>44942</v>
      </c>
      <c r="C150" s="1" t="n">
        <v>45789</v>
      </c>
      <c r="D150" t="inlineStr">
        <is>
          <t>STOCKHOLMS LÄN</t>
        </is>
      </c>
      <c r="E150" t="inlineStr">
        <is>
          <t>NYNÄSHAMN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2367-2023</t>
        </is>
      </c>
      <c r="B151" s="1" t="n">
        <v>44942</v>
      </c>
      <c r="C151" s="1" t="n">
        <v>45789</v>
      </c>
      <c r="D151" t="inlineStr">
        <is>
          <t>STOCKHOLMS LÄN</t>
        </is>
      </c>
      <c r="E151" t="inlineStr">
        <is>
          <t>NYNÄSHAMN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7571-2023</t>
        </is>
      </c>
      <c r="B152" s="1" t="n">
        <v>44972</v>
      </c>
      <c r="C152" s="1" t="n">
        <v>45789</v>
      </c>
      <c r="D152" t="inlineStr">
        <is>
          <t>STOCKHOLMS LÄN</t>
        </is>
      </c>
      <c r="E152" t="inlineStr">
        <is>
          <t>NYNÄSHAMN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7776-2023</t>
        </is>
      </c>
      <c r="B153" s="1" t="n">
        <v>44973</v>
      </c>
      <c r="C153" s="1" t="n">
        <v>45789</v>
      </c>
      <c r="D153" t="inlineStr">
        <is>
          <t>STOCKHOLMS LÄN</t>
        </is>
      </c>
      <c r="E153" t="inlineStr">
        <is>
          <t>NYNÄSHAMN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8932-2023</t>
        </is>
      </c>
      <c r="B154" s="1" t="n">
        <v>44979</v>
      </c>
      <c r="C154" s="1" t="n">
        <v>45789</v>
      </c>
      <c r="D154" t="inlineStr">
        <is>
          <t>STOCKHOLMS LÄN</t>
        </is>
      </c>
      <c r="E154" t="inlineStr">
        <is>
          <t>NYNÄSHAMN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8939-2023</t>
        </is>
      </c>
      <c r="B155" s="1" t="n">
        <v>44979</v>
      </c>
      <c r="C155" s="1" t="n">
        <v>45789</v>
      </c>
      <c r="D155" t="inlineStr">
        <is>
          <t>STOCKHOLMS LÄN</t>
        </is>
      </c>
      <c r="E155" t="inlineStr">
        <is>
          <t>NYNÄSHAMN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9020-2023</t>
        </is>
      </c>
      <c r="B156" s="1" t="n">
        <v>44979</v>
      </c>
      <c r="C156" s="1" t="n">
        <v>45789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9062-2023</t>
        </is>
      </c>
      <c r="B157" s="1" t="n">
        <v>44979</v>
      </c>
      <c r="C157" s="1" t="n">
        <v>45789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9011-2023</t>
        </is>
      </c>
      <c r="B158" s="1" t="n">
        <v>44979</v>
      </c>
      <c r="C158" s="1" t="n">
        <v>45789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9017-2023</t>
        </is>
      </c>
      <c r="B159" s="1" t="n">
        <v>44979</v>
      </c>
      <c r="C159" s="1" t="n">
        <v>45789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10224-2023</t>
        </is>
      </c>
      <c r="B160" s="1" t="n">
        <v>44986</v>
      </c>
      <c r="C160" s="1" t="n">
        <v>45789</v>
      </c>
      <c r="D160" t="inlineStr">
        <is>
          <t>STOCKHOLMS LÄN</t>
        </is>
      </c>
      <c r="E160" t="inlineStr">
        <is>
          <t>NYNÄSHAMN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10615-2023</t>
        </is>
      </c>
      <c r="B161" s="1" t="n">
        <v>44988</v>
      </c>
      <c r="C161" s="1" t="n">
        <v>45789</v>
      </c>
      <c r="D161" t="inlineStr">
        <is>
          <t>STOCKHOLMS LÄN</t>
        </is>
      </c>
      <c r="E161" t="inlineStr">
        <is>
          <t>NYNÄSHAMN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16793-2023</t>
        </is>
      </c>
      <c r="B162" s="1" t="n">
        <v>45028</v>
      </c>
      <c r="C162" s="1" t="n">
        <v>45789</v>
      </c>
      <c r="D162" t="inlineStr">
        <is>
          <t>STOCKHOLMS LÄN</t>
        </is>
      </c>
      <c r="E162" t="inlineStr">
        <is>
          <t>NYNÄSHAMN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21192-2023</t>
        </is>
      </c>
      <c r="B163" s="1" t="n">
        <v>45062</v>
      </c>
      <c r="C163" s="1" t="n">
        <v>45789</v>
      </c>
      <c r="D163" t="inlineStr">
        <is>
          <t>STOCKHOLMS LÄN</t>
        </is>
      </c>
      <c r="E163" t="inlineStr">
        <is>
          <t>NYNÄSHAMN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25175-2023</t>
        </is>
      </c>
      <c r="B164" s="1" t="n">
        <v>45086</v>
      </c>
      <c r="C164" s="1" t="n">
        <v>45789</v>
      </c>
      <c r="D164" t="inlineStr">
        <is>
          <t>STOCKHOLMS LÄN</t>
        </is>
      </c>
      <c r="E164" t="inlineStr">
        <is>
          <t>NYNÄSHAMN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27748-2023</t>
        </is>
      </c>
      <c r="B165" s="1" t="n">
        <v>45098</v>
      </c>
      <c r="C165" s="1" t="n">
        <v>45789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30910-2023</t>
        </is>
      </c>
      <c r="B166" s="1" t="n">
        <v>45113</v>
      </c>
      <c r="C166" s="1" t="n">
        <v>45789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31808-2023</t>
        </is>
      </c>
      <c r="B167" s="1" t="n">
        <v>45118</v>
      </c>
      <c r="C167" s="1" t="n">
        <v>45789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32011-2023</t>
        </is>
      </c>
      <c r="B168" s="1" t="n">
        <v>45119</v>
      </c>
      <c r="C168" s="1" t="n">
        <v>45789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32074-2023</t>
        </is>
      </c>
      <c r="B169" s="1" t="n">
        <v>45119</v>
      </c>
      <c r="C169" s="1" t="n">
        <v>45789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32092-2023</t>
        </is>
      </c>
      <c r="B170" s="1" t="n">
        <v>45119</v>
      </c>
      <c r="C170" s="1" t="n">
        <v>45789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32917-2023</t>
        </is>
      </c>
      <c r="B171" s="1" t="n">
        <v>45125</v>
      </c>
      <c r="C171" s="1" t="n">
        <v>45789</v>
      </c>
      <c r="D171" t="inlineStr">
        <is>
          <t>STOCKHOLMS LÄN</t>
        </is>
      </c>
      <c r="E171" t="inlineStr">
        <is>
          <t>NYNÄSHAMN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33529-2023</t>
        </is>
      </c>
      <c r="B172" s="1" t="n">
        <v>45131</v>
      </c>
      <c r="C172" s="1" t="n">
        <v>45789</v>
      </c>
      <c r="D172" t="inlineStr">
        <is>
          <t>STOCKHOLMS LÄN</t>
        </is>
      </c>
      <c r="E172" t="inlineStr">
        <is>
          <t>NYNÄSHAMN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34385-2023</t>
        </is>
      </c>
      <c r="B173" s="1" t="n">
        <v>45139</v>
      </c>
      <c r="C173" s="1" t="n">
        <v>45789</v>
      </c>
      <c r="D173" t="inlineStr">
        <is>
          <t>STOCKHOLMS LÄN</t>
        </is>
      </c>
      <c r="E173" t="inlineStr">
        <is>
          <t>NYNÄSHAMN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34660-2023</t>
        </is>
      </c>
      <c r="B174" s="1" t="n">
        <v>45140</v>
      </c>
      <c r="C174" s="1" t="n">
        <v>45789</v>
      </c>
      <c r="D174" t="inlineStr">
        <is>
          <t>STOCKHOLMS LÄN</t>
        </is>
      </c>
      <c r="E174" t="inlineStr">
        <is>
          <t>NYNÄSHAMN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35356-2023</t>
        </is>
      </c>
      <c r="B175" s="1" t="n">
        <v>45146</v>
      </c>
      <c r="C175" s="1" t="n">
        <v>45789</v>
      </c>
      <c r="D175" t="inlineStr">
        <is>
          <t>STOCKHOLMS LÄN</t>
        </is>
      </c>
      <c r="E175" t="inlineStr">
        <is>
          <t>NYNÄSHAMN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36056-2023</t>
        </is>
      </c>
      <c r="B176" s="1" t="n">
        <v>45149</v>
      </c>
      <c r="C176" s="1" t="n">
        <v>45789</v>
      </c>
      <c r="D176" t="inlineStr">
        <is>
          <t>STOCKHOLMS LÄN</t>
        </is>
      </c>
      <c r="E176" t="inlineStr">
        <is>
          <t>NYNÄSHAMN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36060-2023</t>
        </is>
      </c>
      <c r="B177" s="1" t="n">
        <v>45149</v>
      </c>
      <c r="C177" s="1" t="n">
        <v>45789</v>
      </c>
      <c r="D177" t="inlineStr">
        <is>
          <t>STOCKHOLMS LÄN</t>
        </is>
      </c>
      <c r="E177" t="inlineStr">
        <is>
          <t>NYNÄSHAMN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36052-2023</t>
        </is>
      </c>
      <c r="B178" s="1" t="n">
        <v>45149</v>
      </c>
      <c r="C178" s="1" t="n">
        <v>45789</v>
      </c>
      <c r="D178" t="inlineStr">
        <is>
          <t>STOCKHOLMS LÄN</t>
        </is>
      </c>
      <c r="E178" t="inlineStr">
        <is>
          <t>NYNÄSHAMN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41049-2023</t>
        </is>
      </c>
      <c r="B179" s="1" t="n">
        <v>45173</v>
      </c>
      <c r="C179" s="1" t="n">
        <v>45789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41673-2023</t>
        </is>
      </c>
      <c r="B180" s="1" t="n">
        <v>45173</v>
      </c>
      <c r="C180" s="1" t="n">
        <v>45789</v>
      </c>
      <c r="D180" t="inlineStr">
        <is>
          <t>STOCKHOLMS LÄN</t>
        </is>
      </c>
      <c r="E180" t="inlineStr">
        <is>
          <t>NYNÄSHAMN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41677-2023</t>
        </is>
      </c>
      <c r="B181" s="1" t="n">
        <v>45173</v>
      </c>
      <c r="C181" s="1" t="n">
        <v>45789</v>
      </c>
      <c r="D181" t="inlineStr">
        <is>
          <t>STOCKHOLMS LÄN</t>
        </is>
      </c>
      <c r="E181" t="inlineStr">
        <is>
          <t>NYNÄSHAMN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41680-2023</t>
        </is>
      </c>
      <c r="B182" s="1" t="n">
        <v>45173</v>
      </c>
      <c r="C182" s="1" t="n">
        <v>45789</v>
      </c>
      <c r="D182" t="inlineStr">
        <is>
          <t>STOCKHOLMS LÄN</t>
        </is>
      </c>
      <c r="E182" t="inlineStr">
        <is>
          <t>NYNÄSHAMN</t>
        </is>
      </c>
      <c r="G182" t="n">
        <v>12.3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43193-2023</t>
        </is>
      </c>
      <c r="B183" s="1" t="n">
        <v>45183</v>
      </c>
      <c r="C183" s="1" t="n">
        <v>45789</v>
      </c>
      <c r="D183" t="inlineStr">
        <is>
          <t>STOCKHOLMS LÄN</t>
        </is>
      </c>
      <c r="E183" t="inlineStr">
        <is>
          <t>NYNÄSHAMN</t>
        </is>
      </c>
      <c r="F183" t="inlineStr">
        <is>
          <t>Kyrkan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44624-2023</t>
        </is>
      </c>
      <c r="B184" s="1" t="n">
        <v>45184</v>
      </c>
      <c r="C184" s="1" t="n">
        <v>45789</v>
      </c>
      <c r="D184" t="inlineStr">
        <is>
          <t>STOCKHOLMS LÄN</t>
        </is>
      </c>
      <c r="E184" t="inlineStr">
        <is>
          <t>NYNÄSHAMN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44619-2023</t>
        </is>
      </c>
      <c r="B185" s="1" t="n">
        <v>45189</v>
      </c>
      <c r="C185" s="1" t="n">
        <v>45789</v>
      </c>
      <c r="D185" t="inlineStr">
        <is>
          <t>STOCKHOLMS LÄN</t>
        </is>
      </c>
      <c r="E185" t="inlineStr">
        <is>
          <t>NYNÄSHAMN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47128-2023</t>
        </is>
      </c>
      <c r="B186" s="1" t="n">
        <v>45196</v>
      </c>
      <c r="C186" s="1" t="n">
        <v>45789</v>
      </c>
      <c r="D186" t="inlineStr">
        <is>
          <t>STOCKHOLMS LÄN</t>
        </is>
      </c>
      <c r="E186" t="inlineStr">
        <is>
          <t>NYNÄSHAMN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47013-2023</t>
        </is>
      </c>
      <c r="B187" s="1" t="n">
        <v>45196</v>
      </c>
      <c r="C187" s="1" t="n">
        <v>45789</v>
      </c>
      <c r="D187" t="inlineStr">
        <is>
          <t>STOCKHOLMS LÄN</t>
        </is>
      </c>
      <c r="E187" t="inlineStr">
        <is>
          <t>NYNÄSHAMN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47093-2023</t>
        </is>
      </c>
      <c r="B188" s="1" t="n">
        <v>45196</v>
      </c>
      <c r="C188" s="1" t="n">
        <v>45789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47115-2023</t>
        </is>
      </c>
      <c r="B189" s="1" t="n">
        <v>45196</v>
      </c>
      <c r="C189" s="1" t="n">
        <v>45789</v>
      </c>
      <c r="D189" t="inlineStr">
        <is>
          <t>STOCKHOLMS LÄN</t>
        </is>
      </c>
      <c r="E189" t="inlineStr">
        <is>
          <t>NYNÄSHAMN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47001-2023</t>
        </is>
      </c>
      <c r="B190" s="1" t="n">
        <v>45196</v>
      </c>
      <c r="C190" s="1" t="n">
        <v>45789</v>
      </c>
      <c r="D190" t="inlineStr">
        <is>
          <t>STOCKHOLMS LÄN</t>
        </is>
      </c>
      <c r="E190" t="inlineStr">
        <is>
          <t>NYNÄSHAMN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47089-2023</t>
        </is>
      </c>
      <c r="B191" s="1" t="n">
        <v>45196</v>
      </c>
      <c r="C191" s="1" t="n">
        <v>45789</v>
      </c>
      <c r="D191" t="inlineStr">
        <is>
          <t>STOCKHOLMS LÄN</t>
        </is>
      </c>
      <c r="E191" t="inlineStr">
        <is>
          <t>NYNÄSHAMN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48978-2023</t>
        </is>
      </c>
      <c r="B192" s="1" t="n">
        <v>45209</v>
      </c>
      <c r="C192" s="1" t="n">
        <v>45789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49253-2023</t>
        </is>
      </c>
      <c r="B193" s="1" t="n">
        <v>45210</v>
      </c>
      <c r="C193" s="1" t="n">
        <v>45789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55871-2023</t>
        </is>
      </c>
      <c r="B194" s="1" t="n">
        <v>45239</v>
      </c>
      <c r="C194" s="1" t="n">
        <v>45789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Kommuner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60050-2023</t>
        </is>
      </c>
      <c r="B195" s="1" t="n">
        <v>45257</v>
      </c>
      <c r="C195" s="1" t="n">
        <v>45789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60053-2023</t>
        </is>
      </c>
      <c r="B196" s="1" t="n">
        <v>45257</v>
      </c>
      <c r="C196" s="1" t="n">
        <v>45789</v>
      </c>
      <c r="D196" t="inlineStr">
        <is>
          <t>STOCKHOLMS LÄN</t>
        </is>
      </c>
      <c r="E196" t="inlineStr">
        <is>
          <t>NYNÄSHAMN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60627-2023</t>
        </is>
      </c>
      <c r="B197" s="1" t="n">
        <v>45259</v>
      </c>
      <c r="C197" s="1" t="n">
        <v>45789</v>
      </c>
      <c r="D197" t="inlineStr">
        <is>
          <t>STOCKHOLMS LÄN</t>
        </is>
      </c>
      <c r="E197" t="inlineStr">
        <is>
          <t>NYNÄSHAMN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62013-2023</t>
        </is>
      </c>
      <c r="B198" s="1" t="n">
        <v>45266</v>
      </c>
      <c r="C198" s="1" t="n">
        <v>45789</v>
      </c>
      <c r="D198" t="inlineStr">
        <is>
          <t>STOCKHOLMS LÄN</t>
        </is>
      </c>
      <c r="E198" t="inlineStr">
        <is>
          <t>NYNÄSHAMN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62038-2023</t>
        </is>
      </c>
      <c r="B199" s="1" t="n">
        <v>45266</v>
      </c>
      <c r="C199" s="1" t="n">
        <v>45789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62878-2023</t>
        </is>
      </c>
      <c r="B200" s="1" t="n">
        <v>45272</v>
      </c>
      <c r="C200" s="1" t="n">
        <v>45789</v>
      </c>
      <c r="D200" t="inlineStr">
        <is>
          <t>STOCKHOLMS LÄN</t>
        </is>
      </c>
      <c r="E200" t="inlineStr">
        <is>
          <t>NYNÄSHAMN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63463-2023</t>
        </is>
      </c>
      <c r="B201" s="1" t="n">
        <v>45274</v>
      </c>
      <c r="C201" s="1" t="n">
        <v>45789</v>
      </c>
      <c r="D201" t="inlineStr">
        <is>
          <t>STOCKHOLMS LÄN</t>
        </is>
      </c>
      <c r="E201" t="inlineStr">
        <is>
          <t>NYNÄSHAMN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64426-2023</t>
        </is>
      </c>
      <c r="B202" s="1" t="n">
        <v>45280</v>
      </c>
      <c r="C202" s="1" t="n">
        <v>45789</v>
      </c>
      <c r="D202" t="inlineStr">
        <is>
          <t>STOCKHOLMS LÄN</t>
        </is>
      </c>
      <c r="E202" t="inlineStr">
        <is>
          <t>NYNÄSHAMN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64411-2023</t>
        </is>
      </c>
      <c r="B203" s="1" t="n">
        <v>45280</v>
      </c>
      <c r="C203" s="1" t="n">
        <v>45789</v>
      </c>
      <c r="D203" t="inlineStr">
        <is>
          <t>STOCKHOLMS LÄN</t>
        </is>
      </c>
      <c r="E203" t="inlineStr">
        <is>
          <t>NYNÄSHAMN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64452-2023</t>
        </is>
      </c>
      <c r="B204" s="1" t="n">
        <v>45280</v>
      </c>
      <c r="C204" s="1" t="n">
        <v>45789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64494-2023</t>
        </is>
      </c>
      <c r="B205" s="1" t="n">
        <v>45280</v>
      </c>
      <c r="C205" s="1" t="n">
        <v>45789</v>
      </c>
      <c r="D205" t="inlineStr">
        <is>
          <t>STOCKHOLMS LÄN</t>
        </is>
      </c>
      <c r="E205" t="inlineStr">
        <is>
          <t>NYNÄSHAMN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64451-2023</t>
        </is>
      </c>
      <c r="B206" s="1" t="n">
        <v>45280</v>
      </c>
      <c r="C206" s="1" t="n">
        <v>45789</v>
      </c>
      <c r="D206" t="inlineStr">
        <is>
          <t>STOCKHOLMS LÄN</t>
        </is>
      </c>
      <c r="E206" t="inlineStr">
        <is>
          <t>NYNÄSHAMN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1267-2024</t>
        </is>
      </c>
      <c r="B207" s="1" t="n">
        <v>45302</v>
      </c>
      <c r="C207" s="1" t="n">
        <v>45789</v>
      </c>
      <c r="D207" t="inlineStr">
        <is>
          <t>STOCKHOLMS LÄN</t>
        </is>
      </c>
      <c r="E207" t="inlineStr">
        <is>
          <t>NYNÄSHAMN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5693-2024</t>
        </is>
      </c>
      <c r="B208" s="1" t="n">
        <v>45334</v>
      </c>
      <c r="C208" s="1" t="n">
        <v>45789</v>
      </c>
      <c r="D208" t="inlineStr">
        <is>
          <t>STOCKHOLMS LÄN</t>
        </is>
      </c>
      <c r="E208" t="inlineStr">
        <is>
          <t>NYNÄSHAMN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6295-2024</t>
        </is>
      </c>
      <c r="B209" s="1" t="n">
        <v>45338</v>
      </c>
      <c r="C209" s="1" t="n">
        <v>45789</v>
      </c>
      <c r="D209" t="inlineStr">
        <is>
          <t>STOCKHOLMS LÄN</t>
        </is>
      </c>
      <c r="E209" t="inlineStr">
        <is>
          <t>NYNÄSHAMN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6599-2024</t>
        </is>
      </c>
      <c r="B210" s="1" t="n">
        <v>45341</v>
      </c>
      <c r="C210" s="1" t="n">
        <v>45789</v>
      </c>
      <c r="D210" t="inlineStr">
        <is>
          <t>STOCKHOLMS LÄN</t>
        </is>
      </c>
      <c r="E210" t="inlineStr">
        <is>
          <t>NYNÄSHAMN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7180-2024</t>
        </is>
      </c>
      <c r="B211" s="1" t="n">
        <v>45344</v>
      </c>
      <c r="C211" s="1" t="n">
        <v>45789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10584-2024</t>
        </is>
      </c>
      <c r="B212" s="1" t="n">
        <v>45366</v>
      </c>
      <c r="C212" s="1" t="n">
        <v>45789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10588-2024</t>
        </is>
      </c>
      <c r="B213" s="1" t="n">
        <v>45366</v>
      </c>
      <c r="C213" s="1" t="n">
        <v>45789</v>
      </c>
      <c r="D213" t="inlineStr">
        <is>
          <t>STOCKHOLMS LÄN</t>
        </is>
      </c>
      <c r="E213" t="inlineStr">
        <is>
          <t>NYNÄSHAMN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14490-2024</t>
        </is>
      </c>
      <c r="B214" s="1" t="n">
        <v>45394</v>
      </c>
      <c r="C214" s="1" t="n">
        <v>45789</v>
      </c>
      <c r="D214" t="inlineStr">
        <is>
          <t>STOCKHOLMS LÄN</t>
        </is>
      </c>
      <c r="E214" t="inlineStr">
        <is>
          <t>NYNÄSHAMN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15176-2024</t>
        </is>
      </c>
      <c r="B215" s="1" t="n">
        <v>45400</v>
      </c>
      <c r="C215" s="1" t="n">
        <v>45789</v>
      </c>
      <c r="D215" t="inlineStr">
        <is>
          <t>STOCKHOLMS LÄN</t>
        </is>
      </c>
      <c r="E215" t="inlineStr">
        <is>
          <t>NYNÄSHAMN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15996-2024</t>
        </is>
      </c>
      <c r="B216" s="1" t="n">
        <v>45405</v>
      </c>
      <c r="C216" s="1" t="n">
        <v>45789</v>
      </c>
      <c r="D216" t="inlineStr">
        <is>
          <t>STOCKHOLMS LÄN</t>
        </is>
      </c>
      <c r="E216" t="inlineStr">
        <is>
          <t>NYNÄSHAMN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16187-2024</t>
        </is>
      </c>
      <c r="B217" s="1" t="n">
        <v>45406</v>
      </c>
      <c r="C217" s="1" t="n">
        <v>45789</v>
      </c>
      <c r="D217" t="inlineStr">
        <is>
          <t>STOCKHOLMS LÄN</t>
        </is>
      </c>
      <c r="E217" t="inlineStr">
        <is>
          <t>NYNÄSHAMN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17987-2024</t>
        </is>
      </c>
      <c r="B218" s="1" t="n">
        <v>45419</v>
      </c>
      <c r="C218" s="1" t="n">
        <v>45789</v>
      </c>
      <c r="D218" t="inlineStr">
        <is>
          <t>STOCKHOLMS LÄN</t>
        </is>
      </c>
      <c r="E218" t="inlineStr">
        <is>
          <t>NYNÄSHAMN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17991-2024</t>
        </is>
      </c>
      <c r="B219" s="1" t="n">
        <v>45419</v>
      </c>
      <c r="C219" s="1" t="n">
        <v>45789</v>
      </c>
      <c r="D219" t="inlineStr">
        <is>
          <t>STOCKHOLMS LÄN</t>
        </is>
      </c>
      <c r="E219" t="inlineStr">
        <is>
          <t>NYNÄSHAMN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17986-2024</t>
        </is>
      </c>
      <c r="B220" s="1" t="n">
        <v>45419</v>
      </c>
      <c r="C220" s="1" t="n">
        <v>45789</v>
      </c>
      <c r="D220" t="inlineStr">
        <is>
          <t>STOCKHOLMS LÄN</t>
        </is>
      </c>
      <c r="E220" t="inlineStr">
        <is>
          <t>NYNÄSHAMN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17990-2024</t>
        </is>
      </c>
      <c r="B221" s="1" t="n">
        <v>45419</v>
      </c>
      <c r="C221" s="1" t="n">
        <v>45789</v>
      </c>
      <c r="D221" t="inlineStr">
        <is>
          <t>STOCKHOLMS LÄN</t>
        </is>
      </c>
      <c r="E221" t="inlineStr">
        <is>
          <t>NYNÄSHAMN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17988-2024</t>
        </is>
      </c>
      <c r="B222" s="1" t="n">
        <v>45419</v>
      </c>
      <c r="C222" s="1" t="n">
        <v>45789</v>
      </c>
      <c r="D222" t="inlineStr">
        <is>
          <t>STOCKHOLMS LÄN</t>
        </is>
      </c>
      <c r="E222" t="inlineStr">
        <is>
          <t>NYNÄSHAMN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17989-2024</t>
        </is>
      </c>
      <c r="B223" s="1" t="n">
        <v>45419</v>
      </c>
      <c r="C223" s="1" t="n">
        <v>45789</v>
      </c>
      <c r="D223" t="inlineStr">
        <is>
          <t>STOCKHOLMS LÄN</t>
        </is>
      </c>
      <c r="E223" t="inlineStr">
        <is>
          <t>NYNÄSHAMN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23650-2024</t>
        </is>
      </c>
      <c r="B224" s="1" t="n">
        <v>45454</v>
      </c>
      <c r="C224" s="1" t="n">
        <v>45789</v>
      </c>
      <c r="D224" t="inlineStr">
        <is>
          <t>STOCKHOLMS LÄN</t>
        </is>
      </c>
      <c r="E224" t="inlineStr">
        <is>
          <t>NYNÄSHAMN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24288-2024</t>
        </is>
      </c>
      <c r="B225" s="1" t="n">
        <v>45457</v>
      </c>
      <c r="C225" s="1" t="n">
        <v>45789</v>
      </c>
      <c r="D225" t="inlineStr">
        <is>
          <t>STOCKHOLMS LÄN</t>
        </is>
      </c>
      <c r="E225" t="inlineStr">
        <is>
          <t>NYNÄSHAMN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26495-2024</t>
        </is>
      </c>
      <c r="B226" s="1" t="n">
        <v>45469</v>
      </c>
      <c r="C226" s="1" t="n">
        <v>45789</v>
      </c>
      <c r="D226" t="inlineStr">
        <is>
          <t>STOCKHOLMS LÄN</t>
        </is>
      </c>
      <c r="E226" t="inlineStr">
        <is>
          <t>NYNÄSHAMN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26505-2024</t>
        </is>
      </c>
      <c r="B227" s="1" t="n">
        <v>45469</v>
      </c>
      <c r="C227" s="1" t="n">
        <v>45789</v>
      </c>
      <c r="D227" t="inlineStr">
        <is>
          <t>STOCKHOLMS LÄN</t>
        </is>
      </c>
      <c r="E227" t="inlineStr">
        <is>
          <t>NYNÄSHAMN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26341-2024</t>
        </is>
      </c>
      <c r="B228" s="1" t="n">
        <v>45469</v>
      </c>
      <c r="C228" s="1" t="n">
        <v>45789</v>
      </c>
      <c r="D228" t="inlineStr">
        <is>
          <t>STOCKHOLMS LÄN</t>
        </is>
      </c>
      <c r="E228" t="inlineStr">
        <is>
          <t>NYNÄSHAMN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26501-2024</t>
        </is>
      </c>
      <c r="B229" s="1" t="n">
        <v>45469</v>
      </c>
      <c r="C229" s="1" t="n">
        <v>45789</v>
      </c>
      <c r="D229" t="inlineStr">
        <is>
          <t>STOCKHOLMS LÄN</t>
        </is>
      </c>
      <c r="E229" t="inlineStr">
        <is>
          <t>NYNÄSHAMN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27091-2024</t>
        </is>
      </c>
      <c r="B230" s="1" t="n">
        <v>45471</v>
      </c>
      <c r="C230" s="1" t="n">
        <v>45789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27092-2024</t>
        </is>
      </c>
      <c r="B231" s="1" t="n">
        <v>45471</v>
      </c>
      <c r="C231" s="1" t="n">
        <v>45789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31168-2024</t>
        </is>
      </c>
      <c r="B232" s="1" t="n">
        <v>45503</v>
      </c>
      <c r="C232" s="1" t="n">
        <v>45789</v>
      </c>
      <c r="D232" t="inlineStr">
        <is>
          <t>STOCKHOLMS LÄN</t>
        </is>
      </c>
      <c r="E232" t="inlineStr">
        <is>
          <t>NYNÄSHAMN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33787-2024</t>
        </is>
      </c>
      <c r="B233" s="1" t="n">
        <v>45520</v>
      </c>
      <c r="C233" s="1" t="n">
        <v>45789</v>
      </c>
      <c r="D233" t="inlineStr">
        <is>
          <t>STOCKHOLMS LÄN</t>
        </is>
      </c>
      <c r="E233" t="inlineStr">
        <is>
          <t>NYNÄSHAMN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39425-2024</t>
        </is>
      </c>
      <c r="B234" s="1" t="n">
        <v>45551</v>
      </c>
      <c r="C234" s="1" t="n">
        <v>45789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40483-2024</t>
        </is>
      </c>
      <c r="B235" s="1" t="n">
        <v>45555</v>
      </c>
      <c r="C235" s="1" t="n">
        <v>45789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40895-2024</t>
        </is>
      </c>
      <c r="B236" s="1" t="n">
        <v>45558</v>
      </c>
      <c r="C236" s="1" t="n">
        <v>45789</v>
      </c>
      <c r="D236" t="inlineStr">
        <is>
          <t>STOCKHOLMS LÄN</t>
        </is>
      </c>
      <c r="E236" t="inlineStr">
        <is>
          <t>NYNÄSHAMN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41767-2024</t>
        </is>
      </c>
      <c r="B237" s="1" t="n">
        <v>45561</v>
      </c>
      <c r="C237" s="1" t="n">
        <v>45789</v>
      </c>
      <c r="D237" t="inlineStr">
        <is>
          <t>STOCKHOLMS LÄN</t>
        </is>
      </c>
      <c r="E237" t="inlineStr">
        <is>
          <t>NYNÄSHAMN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43817-2024</t>
        </is>
      </c>
      <c r="B238" s="1" t="n">
        <v>45571</v>
      </c>
      <c r="C238" s="1" t="n">
        <v>45789</v>
      </c>
      <c r="D238" t="inlineStr">
        <is>
          <t>STOCKHOLMS LÄN</t>
        </is>
      </c>
      <c r="E238" t="inlineStr">
        <is>
          <t>NYNÄSHAMN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44205-2024</t>
        </is>
      </c>
      <c r="B239" s="1" t="n">
        <v>45573</v>
      </c>
      <c r="C239" s="1" t="n">
        <v>45789</v>
      </c>
      <c r="D239" t="inlineStr">
        <is>
          <t>STOCKHOLMS LÄN</t>
        </is>
      </c>
      <c r="E239" t="inlineStr">
        <is>
          <t>NYNÄSHAMN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44206-2024</t>
        </is>
      </c>
      <c r="B240" s="1" t="n">
        <v>45573</v>
      </c>
      <c r="C240" s="1" t="n">
        <v>45789</v>
      </c>
      <c r="D240" t="inlineStr">
        <is>
          <t>STOCKHOLMS LÄN</t>
        </is>
      </c>
      <c r="E240" t="inlineStr">
        <is>
          <t>NYNÄSHAMN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47258-2024</t>
        </is>
      </c>
      <c r="B241" s="1" t="n">
        <v>45586</v>
      </c>
      <c r="C241" s="1" t="n">
        <v>45789</v>
      </c>
      <c r="D241" t="inlineStr">
        <is>
          <t>STOCKHOLMS LÄN</t>
        </is>
      </c>
      <c r="E241" t="inlineStr">
        <is>
          <t>NYNÄSHAMN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52859-2024</t>
        </is>
      </c>
      <c r="B242" s="1" t="n">
        <v>45610</v>
      </c>
      <c r="C242" s="1" t="n">
        <v>45789</v>
      </c>
      <c r="D242" t="inlineStr">
        <is>
          <t>STOCKHOLMS LÄN</t>
        </is>
      </c>
      <c r="E242" t="inlineStr">
        <is>
          <t>NYNÄSHAMN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52911-2024</t>
        </is>
      </c>
      <c r="B243" s="1" t="n">
        <v>45610</v>
      </c>
      <c r="C243" s="1" t="n">
        <v>45789</v>
      </c>
      <c r="D243" t="inlineStr">
        <is>
          <t>STOCKHOLMS LÄN</t>
        </is>
      </c>
      <c r="E243" t="inlineStr">
        <is>
          <t>NYNÄSHAMN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52953-2024</t>
        </is>
      </c>
      <c r="B244" s="1" t="n">
        <v>45610</v>
      </c>
      <c r="C244" s="1" t="n">
        <v>45789</v>
      </c>
      <c r="D244" t="inlineStr">
        <is>
          <t>STOCKHOLMS LÄN</t>
        </is>
      </c>
      <c r="E244" t="inlineStr">
        <is>
          <t>NYNÄSHAMN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52910-2024</t>
        </is>
      </c>
      <c r="B245" s="1" t="n">
        <v>45610</v>
      </c>
      <c r="C245" s="1" t="n">
        <v>45789</v>
      </c>
      <c r="D245" t="inlineStr">
        <is>
          <t>STOCKHOLMS LÄN</t>
        </is>
      </c>
      <c r="E245" t="inlineStr">
        <is>
          <t>NYNÄSHAMN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52950-2024</t>
        </is>
      </c>
      <c r="B246" s="1" t="n">
        <v>45610</v>
      </c>
      <c r="C246" s="1" t="n">
        <v>45789</v>
      </c>
      <c r="D246" t="inlineStr">
        <is>
          <t>STOCKHOLMS LÄN</t>
        </is>
      </c>
      <c r="E246" t="inlineStr">
        <is>
          <t>NYNÄSHAMN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55021-2024</t>
        </is>
      </c>
      <c r="B247" s="1" t="n">
        <v>45621</v>
      </c>
      <c r="C247" s="1" t="n">
        <v>45789</v>
      </c>
      <c r="D247" t="inlineStr">
        <is>
          <t>STOCKHOLMS LÄN</t>
        </is>
      </c>
      <c r="E247" t="inlineStr">
        <is>
          <t>NYNÄSHAMN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57375-2024</t>
        </is>
      </c>
      <c r="B248" s="1" t="n">
        <v>45629</v>
      </c>
      <c r="C248" s="1" t="n">
        <v>45789</v>
      </c>
      <c r="D248" t="inlineStr">
        <is>
          <t>STOCKHOLMS LÄN</t>
        </is>
      </c>
      <c r="E248" t="inlineStr">
        <is>
          <t>NYNÄSHAMN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59337-2024</t>
        </is>
      </c>
      <c r="B249" s="1" t="n">
        <v>45637</v>
      </c>
      <c r="C249" s="1" t="n">
        <v>45789</v>
      </c>
      <c r="D249" t="inlineStr">
        <is>
          <t>STOCKHOLMS LÄN</t>
        </is>
      </c>
      <c r="E249" t="inlineStr">
        <is>
          <t>NYNÄSHAMN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59364-2024</t>
        </is>
      </c>
      <c r="B250" s="1" t="n">
        <v>45638</v>
      </c>
      <c r="C250" s="1" t="n">
        <v>45789</v>
      </c>
      <c r="D250" t="inlineStr">
        <is>
          <t>STOCKHOLMS LÄN</t>
        </is>
      </c>
      <c r="E250" t="inlineStr">
        <is>
          <t>NYNÄSHAMN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636-2025</t>
        </is>
      </c>
      <c r="B251" s="1" t="n">
        <v>45664</v>
      </c>
      <c r="C251" s="1" t="n">
        <v>45789</v>
      </c>
      <c r="D251" t="inlineStr">
        <is>
          <t>STOCKHOLMS LÄN</t>
        </is>
      </c>
      <c r="E251" t="inlineStr">
        <is>
          <t>NYNÄSHAMN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3341-2025</t>
        </is>
      </c>
      <c r="B252" s="1" t="n">
        <v>45679</v>
      </c>
      <c r="C252" s="1" t="n">
        <v>45789</v>
      </c>
      <c r="D252" t="inlineStr">
        <is>
          <t>STOCKHOLMS LÄN</t>
        </is>
      </c>
      <c r="E252" t="inlineStr">
        <is>
          <t>NYNÄSHAMN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4219-2025</t>
        </is>
      </c>
      <c r="B253" s="1" t="n">
        <v>45685</v>
      </c>
      <c r="C253" s="1" t="n">
        <v>45789</v>
      </c>
      <c r="D253" t="inlineStr">
        <is>
          <t>STOCKHOLMS LÄN</t>
        </is>
      </c>
      <c r="E253" t="inlineStr">
        <is>
          <t>NYNÄSHAMN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5767-2025</t>
        </is>
      </c>
      <c r="B254" s="1" t="n">
        <v>45694</v>
      </c>
      <c r="C254" s="1" t="n">
        <v>45789</v>
      </c>
      <c r="D254" t="inlineStr">
        <is>
          <t>STOCKHOLMS LÄN</t>
        </is>
      </c>
      <c r="E254" t="inlineStr">
        <is>
          <t>NYNÄSHAMN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7457-2025</t>
        </is>
      </c>
      <c r="B255" s="1" t="n">
        <v>45705</v>
      </c>
      <c r="C255" s="1" t="n">
        <v>45789</v>
      </c>
      <c r="D255" t="inlineStr">
        <is>
          <t>STOCKHOLMS LÄN</t>
        </is>
      </c>
      <c r="E255" t="inlineStr">
        <is>
          <t>NYNÄSHAMN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10516-2025</t>
        </is>
      </c>
      <c r="B256" s="1" t="n">
        <v>45721</v>
      </c>
      <c r="C256" s="1" t="n">
        <v>45789</v>
      </c>
      <c r="D256" t="inlineStr">
        <is>
          <t>STOCKHOLMS LÄN</t>
        </is>
      </c>
      <c r="E256" t="inlineStr">
        <is>
          <t>NYNÄSHAMN</t>
        </is>
      </c>
      <c r="F256" t="inlineStr">
        <is>
          <t>Kommuner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10614-2025</t>
        </is>
      </c>
      <c r="B257" s="1" t="n">
        <v>45721</v>
      </c>
      <c r="C257" s="1" t="n">
        <v>45789</v>
      </c>
      <c r="D257" t="inlineStr">
        <is>
          <t>STOCKHOLMS LÄN</t>
        </is>
      </c>
      <c r="E257" t="inlineStr">
        <is>
          <t>NYNÄSHAMN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12551-2025</t>
        </is>
      </c>
      <c r="B258" s="1" t="n">
        <v>45731</v>
      </c>
      <c r="C258" s="1" t="n">
        <v>45789</v>
      </c>
      <c r="D258" t="inlineStr">
        <is>
          <t>STOCKHOLMS LÄN</t>
        </is>
      </c>
      <c r="E258" t="inlineStr">
        <is>
          <t>NYNÄSHAMN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13942-2025</t>
        </is>
      </c>
      <c r="B259" s="1" t="n">
        <v>45737</v>
      </c>
      <c r="C259" s="1" t="n">
        <v>45789</v>
      </c>
      <c r="D259" t="inlineStr">
        <is>
          <t>STOCKHOLMS LÄN</t>
        </is>
      </c>
      <c r="E259" t="inlineStr">
        <is>
          <t>NYNÄSHAMN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13945-2025</t>
        </is>
      </c>
      <c r="B260" s="1" t="n">
        <v>45737</v>
      </c>
      <c r="C260" s="1" t="n">
        <v>45789</v>
      </c>
      <c r="D260" t="inlineStr">
        <is>
          <t>STOCKHOLMS LÄN</t>
        </is>
      </c>
      <c r="E260" t="inlineStr">
        <is>
          <t>NYNÄSHAMN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13947-2025</t>
        </is>
      </c>
      <c r="B261" s="1" t="n">
        <v>45737</v>
      </c>
      <c r="C261" s="1" t="n">
        <v>45789</v>
      </c>
      <c r="D261" t="inlineStr">
        <is>
          <t>STOCKHOLMS LÄN</t>
        </is>
      </c>
      <c r="E261" t="inlineStr">
        <is>
          <t>NYNÄSHAMN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15465-2025</t>
        </is>
      </c>
      <c r="B262" s="1" t="n">
        <v>45747</v>
      </c>
      <c r="C262" s="1" t="n">
        <v>45789</v>
      </c>
      <c r="D262" t="inlineStr">
        <is>
          <t>STOCKHOLMS LÄN</t>
        </is>
      </c>
      <c r="E262" t="inlineStr">
        <is>
          <t>NYNÄSHAMN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15460-2025</t>
        </is>
      </c>
      <c r="B263" s="1" t="n">
        <v>45747</v>
      </c>
      <c r="C263" s="1" t="n">
        <v>45789</v>
      </c>
      <c r="D263" t="inlineStr">
        <is>
          <t>STOCKHOLMS LÄN</t>
        </is>
      </c>
      <c r="E263" t="inlineStr">
        <is>
          <t>NYNÄSHAMN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15839-2025</t>
        </is>
      </c>
      <c r="B264" s="1" t="n">
        <v>45748</v>
      </c>
      <c r="C264" s="1" t="n">
        <v>45789</v>
      </c>
      <c r="D264" t="inlineStr">
        <is>
          <t>STOCKHOLMS LÄN</t>
        </is>
      </c>
      <c r="E264" t="inlineStr">
        <is>
          <t>NYNÄSHAMN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18411-2025</t>
        </is>
      </c>
      <c r="B265" s="1" t="n">
        <v>45762</v>
      </c>
      <c r="C265" s="1" t="n">
        <v>45789</v>
      </c>
      <c r="D265" t="inlineStr">
        <is>
          <t>STOCKHOLMS LÄN</t>
        </is>
      </c>
      <c r="E265" t="inlineStr">
        <is>
          <t>NYNÄSHAMN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19679-2025</t>
        </is>
      </c>
      <c r="B266" s="1" t="n">
        <v>45770</v>
      </c>
      <c r="C266" s="1" t="n">
        <v>45789</v>
      </c>
      <c r="D266" t="inlineStr">
        <is>
          <t>STOCKHOLMS LÄN</t>
        </is>
      </c>
      <c r="E266" t="inlineStr">
        <is>
          <t>NYNÄSHAMN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21202-2025</t>
        </is>
      </c>
      <c r="B267" s="1" t="n">
        <v>45779</v>
      </c>
      <c r="C267" s="1" t="n">
        <v>45789</v>
      </c>
      <c r="D267" t="inlineStr">
        <is>
          <t>STOCKHOLMS LÄN</t>
        </is>
      </c>
      <c r="E267" t="inlineStr">
        <is>
          <t>NYNÄSHAMN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2025-05-12T17:33:10Z</dcterms:created>
  <dcterms:modified xmlns:dcterms="http://purl.org/dc/terms/" xmlns:xsi="http://www.w3.org/2001/XMLSchema-instance" xsi:type="dcterms:W3CDTF">2025-05-12T17:33:10Z</dcterms:modified>
</cp:coreProperties>
</file>