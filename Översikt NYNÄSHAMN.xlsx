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46303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46303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46303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46303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46303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46303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46303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46303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46303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1561-2023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44937</v>
      </c>
      <c r="E18" s="1" t="n">
        <v>46303</v>
      </c>
      <c r="F18" t="inlineStr">
        <is>
          <t>STOCKHOLMS LÄN</t>
        </is>
      </c>
      <c r="G18" t="inlineStr">
        <is>
          <t>NYNÄSHAMN</t>
        </is>
      </c>
      <c r="I18" t="n">
        <v>1.3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Tallticka
Blåsippa</t>
        </is>
      </c>
      <c r="W18">
        <f>HYPERLINK("https://klasma.github.io/Logging_0192/artfynd/A 1561-2023 artfynd.xlsx", "A 1561-2023")</f>
        <v/>
      </c>
      <c r="X18">
        <f>HYPERLINK("https://klasma.github.io/Logging_0192/kartor/A 1561-2023 karta.png", "A 1561-2023")</f>
        <v/>
      </c>
      <c r="Y18">
        <f>HYPERLINK("https://klasma.github.io/Logging_0192/kartor_geotiff/A 1561-2023 georefererad karta.tif", "A 1561-2023")</f>
        <v/>
      </c>
      <c r="AA18">
        <f>HYPERLINK("https://klasma.github.io/Logging_0192/klagomål/A 1561-2023 FSC-klagomål.docx", "A 1561-2023")</f>
        <v/>
      </c>
      <c r="AB18">
        <f>HYPERLINK("https://klasma.github.io/Logging_0192/klagomålsmail/A 1561-2023 FSC-klagomål mail.docx", "A 1561-2023")</f>
        <v/>
      </c>
      <c r="AC18">
        <f>HYPERLINK("https://klasma.github.io/Logging_0192/tillsyn/A 1561-2023 tillsynsbegäran.docx", "A 1561-2023")</f>
        <v/>
      </c>
      <c r="AD18">
        <f>HYPERLINK("https://klasma.github.io/Logging_0192/tillsynsmail/A 1561-2023 tillsynsbegäran mail.docx", "A 1561-2023")</f>
        <v/>
      </c>
    </row>
    <row r="19" ht="15" customHeight="1">
      <c r="A19" t="inlineStr">
        <is>
          <t>A 64189-2023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46303</v>
      </c>
      <c r="F19" t="inlineStr">
        <is>
          <t>STOCKHOLMS LÄN</t>
        </is>
      </c>
      <c r="G19" t="inlineStr">
        <is>
          <t>NYNÄSHAMN</t>
        </is>
      </c>
      <c r="I19" t="n">
        <v>1.5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Blåsippa
Gullviva</t>
        </is>
      </c>
      <c r="W19">
        <f>HYPERLINK("https://klasma.github.io/Logging_0192/artfynd/A 64189-2023 artfynd.xlsx", "A 64189-2023")</f>
        <v/>
      </c>
      <c r="X19">
        <f>HYPERLINK("https://klasma.github.io/Logging_0192/kartor/A 64189-2023 karta.png", "A 64189-2023")</f>
        <v/>
      </c>
      <c r="Y19">
        <f>HYPERLINK("https://klasma.github.io/Logging_0192/kartor_geotiff/A 64189-2023 georefererad karta.tif", "A 64189-2023")</f>
        <v/>
      </c>
      <c r="AA19">
        <f>HYPERLINK("https://klasma.github.io/Logging_0192/klagomål/A 64189-2023 FSC-klagomål.docx", "A 64189-2023")</f>
        <v/>
      </c>
      <c r="AB19">
        <f>HYPERLINK("https://klasma.github.io/Logging_0192/klagomålsmail/A 64189-2023 FSC-klagomål mail.docx", "A 64189-2023")</f>
        <v/>
      </c>
      <c r="AC19">
        <f>HYPERLINK("https://klasma.github.io/Logging_0192/tillsyn/A 64189-2023 tillsynsbegäran.docx", "A 64189-2023")</f>
        <v/>
      </c>
      <c r="AD19">
        <f>HYPERLINK("https://klasma.github.io/Logging_0192/tillsynsmail/A 64189-2023 tillsynsbegäran mail.docx", "A 64189-2023")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46303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Sårläka
Blåsippa</t>
        </is>
      </c>
      <c r="W20">
        <f>HYPERLINK("https://klasma.github.io/Logging_0192/artfynd/A 5567-2023 artfynd.xlsx", "A 5567-2023")</f>
        <v/>
      </c>
      <c r="X20">
        <f>HYPERLINK("https://klasma.github.io/Logging_0192/kartor/A 5567-2023 karta.png", "A 5567-2023")</f>
        <v/>
      </c>
      <c r="Y20">
        <f>HYPERLINK("https://klasma.github.io/Logging_0192/kartor_geotiff/A 5567-2023 georefererad karta.tif", "A 5567-2023")</f>
        <v/>
      </c>
      <c r="AA20">
        <f>HYPERLINK("https://klasma.github.io/Logging_0192/klagomål/A 5567-2023 FSC-klagomål.docx", "A 5567-2023")</f>
        <v/>
      </c>
      <c r="AB20">
        <f>HYPERLINK("https://klasma.github.io/Logging_0192/klagomålsmail/A 5567-2023 FSC-klagomål mail.docx", "A 5567-2023")</f>
        <v/>
      </c>
      <c r="AC20">
        <f>HYPERLINK("https://klasma.github.io/Logging_0192/tillsyn/A 5567-2023 tillsynsbegäran.docx", "A 5567-2023")</f>
        <v/>
      </c>
      <c r="AD20">
        <f>HYPERLINK("https://klasma.github.io/Logging_0192/tillsynsmail/A 5567-2023 tillsynsbegäran mail.docx", "A 5567-2023")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46303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8939-2023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44979</v>
      </c>
      <c r="E22" s="1" t="n">
        <v>46303</v>
      </c>
      <c r="F22" t="inlineStr">
        <is>
          <t>STOCKHOLMS LÄN</t>
        </is>
      </c>
      <c r="G22" t="inlineStr">
        <is>
          <t>NYNÄSHAMN</t>
        </is>
      </c>
      <c r="I22" t="n">
        <v>2.7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8939-2023 artfynd.xlsx", "A 8939-2023")</f>
        <v/>
      </c>
      <c r="X22">
        <f>HYPERLINK("https://klasma.github.io/Logging_0192/kartor/A 8939-2023 karta.png", "A 8939-2023")</f>
        <v/>
      </c>
      <c r="Y22">
        <f>HYPERLINK("https://klasma.github.io/Logging_0192/kartor_geotiff/A 8939-2023 georefererad karta.tif", "A 8939-2023")</f>
        <v/>
      </c>
      <c r="AA22">
        <f>HYPERLINK("https://klasma.github.io/Logging_0192/klagomål/A 8939-2023 FSC-klagomål.docx", "A 8939-2023")</f>
        <v/>
      </c>
      <c r="AB22">
        <f>HYPERLINK("https://klasma.github.io/Logging_0192/klagomålsmail/A 8939-2023 FSC-klagomål mail.docx", "A 8939-2023")</f>
        <v/>
      </c>
      <c r="AC22">
        <f>HYPERLINK("https://klasma.github.io/Logging_0192/tillsyn/A 8939-2023 tillsynsbegäran.docx", "A 8939-2023")</f>
        <v/>
      </c>
      <c r="AD22">
        <f>HYPERLINK("https://klasma.github.io/Logging_0192/tillsynsmail/A 8939-2023 tillsynsbegäran mail.docx", "A 8939-2023")</f>
        <v/>
      </c>
    </row>
    <row r="23" ht="15" customHeight="1">
      <c r="A23" t="inlineStr">
        <is>
          <t>A 47093-2023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45196</v>
      </c>
      <c r="E23" s="1" t="n">
        <v>46303</v>
      </c>
      <c r="F23" t="inlineStr">
        <is>
          <t>STOCKHOLMS LÄN</t>
        </is>
      </c>
      <c r="G23" t="inlineStr">
        <is>
          <t>NYNÄSHAMN</t>
        </is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Hasselticka
Myskmadra</t>
        </is>
      </c>
      <c r="W23">
        <f>HYPERLINK("https://klasma.github.io/Logging_0192/artfynd/A 47093-2023 artfynd.xlsx", "A 47093-2023")</f>
        <v/>
      </c>
      <c r="X23">
        <f>HYPERLINK("https://klasma.github.io/Logging_0192/kartor/A 47093-2023 karta.png", "A 47093-2023")</f>
        <v/>
      </c>
      <c r="Y23">
        <f>HYPERLINK("https://klasma.github.io/Logging_0192/kartor_geotiff/A 47093-2023 georefererad karta.tif", "A 47093-2023")</f>
        <v/>
      </c>
      <c r="AA23">
        <f>HYPERLINK("https://klasma.github.io/Logging_0192/klagomål/A 47093-2023 FSC-klagomål.docx", "A 47093-2023")</f>
        <v/>
      </c>
      <c r="AB23">
        <f>HYPERLINK("https://klasma.github.io/Logging_0192/klagomålsmail/A 47093-2023 FSC-klagomål mail.docx", "A 47093-2023")</f>
        <v/>
      </c>
      <c r="AC23">
        <f>HYPERLINK("https://klasma.github.io/Logging_0192/tillsyn/A 47093-2023 tillsynsbegäran.docx", "A 47093-2023")</f>
        <v/>
      </c>
      <c r="AD23">
        <f>HYPERLINK("https://klasma.github.io/Logging_0192/tillsynsmail/A 47093-2023 tillsynsbegäran mail.docx", "A 47093-2023")</f>
        <v/>
      </c>
    </row>
    <row r="24" ht="15" customHeight="1">
      <c r="A24" t="inlineStr">
        <is>
          <t>A 49523-2023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46303</v>
      </c>
      <c r="F24" t="inlineStr">
        <is>
          <t>STOCKHOLMS LÄN</t>
        </is>
      </c>
      <c r="G24" t="inlineStr">
        <is>
          <t>NYNÄSHAMN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Grönpyrola
Västlig hakmossa</t>
        </is>
      </c>
      <c r="W24">
        <f>HYPERLINK("https://klasma.github.io/Logging_0192/artfynd/A 49523-2023 artfynd.xlsx", "A 49523-2023")</f>
        <v/>
      </c>
      <c r="X24">
        <f>HYPERLINK("https://klasma.github.io/Logging_0192/kartor/A 49523-2023 karta.png", "A 49523-2023")</f>
        <v/>
      </c>
      <c r="Y24">
        <f>HYPERLINK("https://klasma.github.io/Logging_0192/kartor_geotiff/A 49523-2023 georefererad karta.tif", "A 49523-2023")</f>
        <v/>
      </c>
      <c r="AA24">
        <f>HYPERLINK("https://klasma.github.io/Logging_0192/klagomål/A 49523-2023 FSC-klagomål.docx", "A 49523-2023")</f>
        <v/>
      </c>
      <c r="AB24">
        <f>HYPERLINK("https://klasma.github.io/Logging_0192/klagomålsmail/A 49523-2023 FSC-klagomål mail.docx", "A 49523-2023")</f>
        <v/>
      </c>
      <c r="AC24">
        <f>HYPERLINK("https://klasma.github.io/Logging_0192/tillsyn/A 49523-2023 tillsynsbegäran.docx", "A 49523-2023")</f>
        <v/>
      </c>
      <c r="AD24">
        <f>HYPERLINK("https://klasma.github.io/Logging_0192/tillsynsmail/A 49523-2023 tillsynsbegäran mail.docx", "A 49523-2023")</f>
        <v/>
      </c>
    </row>
    <row r="25" ht="15" customHeight="1">
      <c r="A25" t="inlineStr">
        <is>
          <t>A 10059-2022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46303</v>
      </c>
      <c r="F25" t="inlineStr">
        <is>
          <t>STOCKHOLMS LÄN</t>
        </is>
      </c>
      <c r="G25" t="inlineStr">
        <is>
          <t>NYNÄSHAMN</t>
        </is>
      </c>
      <c r="I25" t="n">
        <v>17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Bolmört
Bollvitmossa</t>
        </is>
      </c>
      <c r="W25">
        <f>HYPERLINK("https://klasma.github.io/Logging_0192/artfynd/A 10059-2022 artfynd.xlsx", "A 10059-2022")</f>
        <v/>
      </c>
      <c r="X25">
        <f>HYPERLINK("https://klasma.github.io/Logging_0192/kartor/A 10059-2022 karta.png", "A 10059-2022")</f>
        <v/>
      </c>
      <c r="Y25">
        <f>HYPERLINK("https://klasma.github.io/Logging_0192/kartor_geotiff/A 10059-2022 georefererad karta.tif", "A 10059-2022")</f>
        <v/>
      </c>
      <c r="AA25">
        <f>HYPERLINK("https://klasma.github.io/Logging_0192/klagomål/A 10059-2022 FSC-klagomål.docx", "A 10059-2022")</f>
        <v/>
      </c>
      <c r="AB25">
        <f>HYPERLINK("https://klasma.github.io/Logging_0192/klagomålsmail/A 10059-2022 FSC-klagomål mail.docx", "A 10059-2022")</f>
        <v/>
      </c>
      <c r="AC25">
        <f>HYPERLINK("https://klasma.github.io/Logging_0192/tillsyn/A 10059-2022 tillsynsbegäran.docx", "A 10059-2022")</f>
        <v/>
      </c>
      <c r="AD25">
        <f>HYPERLINK("https://klasma.github.io/Logging_0192/tillsynsmail/A 10059-2022 tillsynsbegäran mail.docx", "A 10059-2022")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46303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64196-2023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46303</v>
      </c>
      <c r="F27" t="inlineStr">
        <is>
          <t>STOCKHOLMS LÄN</t>
        </is>
      </c>
      <c r="G27" t="inlineStr">
        <is>
          <t>NYNÄSHAMN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HYPERLINK("https://klasma.github.io/Logging_0192/artfynd/A 64196-2023 artfynd.xlsx", "A 64196-2023")</f>
        <v/>
      </c>
      <c r="X27">
        <f>HYPERLINK("https://klasma.github.io/Logging_0192/kartor/A 64196-2023 karta.png", "A 64196-2023")</f>
        <v/>
      </c>
      <c r="Y27">
        <f>HYPERLINK("https://klasma.github.io/Logging_0192/kartor_geotiff/A 64196-2023 georefererad karta.tif", "A 64196-2023")</f>
        <v/>
      </c>
      <c r="AA27">
        <f>HYPERLINK("https://klasma.github.io/Logging_0192/klagomål/A 64196-2023 FSC-klagomål.docx", "A 64196-2023")</f>
        <v/>
      </c>
      <c r="AB27">
        <f>HYPERLINK("https://klasma.github.io/Logging_0192/klagomålsmail/A 64196-2023 FSC-klagomål mail.docx", "A 64196-2023")</f>
        <v/>
      </c>
      <c r="AC27">
        <f>HYPERLINK("https://klasma.github.io/Logging_0192/tillsyn/A 64196-2023 tillsynsbegäran.docx", "A 64196-2023")</f>
        <v/>
      </c>
      <c r="AD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46303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46303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46303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46303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Fiskgjuse</t>
        </is>
      </c>
      <c r="W31">
        <f>HYPERLINK("https://klasma.github.io/Logging_0192/artfynd/A 32011-2023 artfynd.xlsx", "A 32011-2023")</f>
        <v/>
      </c>
      <c r="X31">
        <f>HYPERLINK("https://klasma.github.io/Logging_0192/kartor/A 32011-2023 karta.png", "A 32011-2023")</f>
        <v/>
      </c>
      <c r="Y31">
        <f>HYPERLINK("https://klasma.github.io/Logging_0192/kartor_geotiff/A 32011-2023 georefererad karta.tif", "A 32011-2023")</f>
        <v/>
      </c>
      <c r="AA31">
        <f>HYPERLINK("https://klasma.github.io/Logging_0192/klagomål/A 32011-2023 FSC-klagomål.docx", "A 32011-2023")</f>
        <v/>
      </c>
      <c r="AB31">
        <f>HYPERLINK("https://klasma.github.io/Logging_0192/klagomålsmail/A 32011-2023 FSC-klagomål mail.docx", "A 32011-2023")</f>
        <v/>
      </c>
      <c r="AC31">
        <f>HYPERLINK("https://klasma.github.io/Logging_0192/tillsyn/A 32011-2023 tillsynsbegäran.docx", "A 32011-2023")</f>
        <v/>
      </c>
      <c r="AD31">
        <f>HYPERLINK("https://klasma.github.io/Logging_0192/tillsynsmail/A 32011-2023 tillsynsbegäran mail.docx", "A 32011-2023")</f>
        <v/>
      </c>
      <c r="AE31">
        <f>HYPERLINK("https://klasma.github.io/Logging_0192/fåglar/A 32011-2023 prioriterade fågelarter.docx", "A 32011-2023")</f>
        <v/>
      </c>
    </row>
    <row r="32" ht="15" customHeight="1">
      <c r="A32" t="inlineStr">
        <is>
          <t>A 62634-2022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44917</v>
      </c>
      <c r="E32" s="1" t="n">
        <v>46303</v>
      </c>
      <c r="F32" t="inlineStr">
        <is>
          <t>STOCKHOLMS LÄN</t>
        </is>
      </c>
      <c r="G32" t="inlineStr">
        <is>
          <t>NYNÄSHAMN</t>
        </is>
      </c>
      <c r="I32" t="n">
        <v>15.8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padda</t>
        </is>
      </c>
      <c r="W32">
        <f>HYPERLINK("https://klasma.github.io/Logging_0192/artfynd/A 62634-2022 artfynd.xlsx", "A 62634-2022")</f>
        <v/>
      </c>
      <c r="X32">
        <f>HYPERLINK("https://klasma.github.io/Logging_0192/kartor/A 62634-2022 karta.png", "A 62634-2022")</f>
        <v/>
      </c>
      <c r="Y32">
        <f>HYPERLINK("https://klasma.github.io/Logging_0192/kartor_geotiff/A 62634-2022 georefererad karta.tif", "A 62634-2022")</f>
        <v/>
      </c>
      <c r="AA32">
        <f>HYPERLINK("https://klasma.github.io/Logging_0192/klagomål/A 62634-2022 FSC-klagomål.docx", "A 62634-2022")</f>
        <v/>
      </c>
      <c r="AB32">
        <f>HYPERLINK("https://klasma.github.io/Logging_0192/klagomålsmail/A 62634-2022 FSC-klagomål mail.docx", "A 62634-2022")</f>
        <v/>
      </c>
      <c r="AC32">
        <f>HYPERLINK("https://klasma.github.io/Logging_0192/tillsyn/A 62634-2022 tillsynsbegäran.docx", "A 62634-2022")</f>
        <v/>
      </c>
      <c r="AD32">
        <f>HYPERLINK("https://klasma.github.io/Logging_0192/tillsynsmail/A 62634-2022 tillsynsbegäran mail.docx", "A 62634-2022")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46303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46303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46303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46303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46303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46303</v>
      </c>
      <c r="F44" t="inlineStr">
        <is>
          <t>STOCKHOLMS LÄN</t>
        </is>
      </c>
      <c r="G44" t="inlineStr">
        <is>
          <t>NYNÄSHAMN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46303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46303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46303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46303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44574</v>
      </c>
      <c r="E49" s="1" t="n">
        <v>46303</v>
      </c>
      <c r="F49" t="inlineStr">
        <is>
          <t>STOCKHOLMS LÄN</t>
        </is>
      </c>
      <c r="G49" t="inlineStr">
        <is>
          <t>NYNÄSHAMN</t>
        </is>
      </c>
      <c r="H49" t="inlineStr">
        <is>
          <t>Kommuner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17991-2024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46303</v>
      </c>
      <c r="F50" t="inlineStr">
        <is>
          <t>STOCKHOLMS LÄN</t>
        </is>
      </c>
      <c r="G50" t="inlineStr">
        <is>
          <t>NYNÄSHAMN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46303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46303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34660-2023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45140</v>
      </c>
      <c r="E53" s="1" t="n">
        <v>46303</v>
      </c>
      <c r="F53" t="inlineStr">
        <is>
          <t>STOCKHOLMS LÄN</t>
        </is>
      </c>
      <c r="G53" t="inlineStr">
        <is>
          <t>NYNÄSHAMN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46303</v>
      </c>
      <c r="F54" t="inlineStr">
        <is>
          <t>STOCKHOLMS LÄN</t>
        </is>
      </c>
      <c r="G54" t="inlineStr">
        <is>
          <t>NYNÄSHAMN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44957</v>
      </c>
      <c r="E55" s="1" t="n">
        <v>46303</v>
      </c>
      <c r="F55" t="inlineStr">
        <is>
          <t>STOCKHOLMS LÄN</t>
        </is>
      </c>
      <c r="G55" t="inlineStr">
        <is>
          <t>NYNÄSHAMN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46303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45196</v>
      </c>
      <c r="E57" s="1" t="n">
        <v>46303</v>
      </c>
      <c r="F57" t="inlineStr">
        <is>
          <t>STOCKHOLMS LÄN</t>
        </is>
      </c>
      <c r="G57" t="inlineStr">
        <is>
          <t>NYNÄSHAMN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44942</v>
      </c>
      <c r="E58" s="1" t="n">
        <v>46303</v>
      </c>
      <c r="F58" t="inlineStr">
        <is>
          <t>STOCKHOLMS LÄN</t>
        </is>
      </c>
      <c r="G58" t="inlineStr">
        <is>
          <t>NYNÄSHAMN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46303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46303</v>
      </c>
      <c r="F60" t="inlineStr">
        <is>
          <t>STOCKHOLMS LÄN</t>
        </is>
      </c>
      <c r="G60" t="inlineStr">
        <is>
          <t>NYNÄSHAMN</t>
        </is>
      </c>
      <c r="H60" t="inlineStr">
        <is>
          <t>Övriga statliga verk och myndigheter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45928</v>
      </c>
      <c r="E61" s="1" t="n">
        <v>46303</v>
      </c>
      <c r="F61" t="inlineStr">
        <is>
          <t>STOCKHOLMS LÄN</t>
        </is>
      </c>
      <c r="G61" t="inlineStr">
        <is>
          <t>NYNÄSHAMN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46303</v>
      </c>
      <c r="F62" t="inlineStr">
        <is>
          <t>STOCKHOLMS LÄN</t>
        </is>
      </c>
      <c r="G62" t="inlineStr">
        <is>
          <t>NYNÄSHAMN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46303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46303</v>
      </c>
      <c r="F64" t="inlineStr">
        <is>
          <t>STOCKHOLMS LÄN</t>
        </is>
      </c>
      <c r="G64" t="inlineStr">
        <is>
          <t>NYNÄSHAMN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46303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46303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46303</v>
      </c>
      <c r="F67" t="inlineStr">
        <is>
          <t>STOCKHOLMS LÄN</t>
        </is>
      </c>
      <c r="G67" t="inlineStr">
        <is>
          <t>NYNÄSHAMN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51954-2025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45952</v>
      </c>
      <c r="E68" s="1" t="n">
        <v>46303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45869</v>
      </c>
      <c r="E69" s="1" t="n">
        <v>46303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36496-2025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45869</v>
      </c>
      <c r="E70" s="1" t="n">
        <v>46303</v>
      </c>
      <c r="F70" t="inlineStr">
        <is>
          <t>STOCKHOLMS LÄN</t>
        </is>
      </c>
      <c r="G70" t="inlineStr">
        <is>
          <t>NYNÄSHAMN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46303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46303</v>
      </c>
      <c r="F72" t="inlineStr">
        <is>
          <t>STOCKHOLMS LÄN</t>
        </is>
      </c>
      <c r="G72" t="inlineStr">
        <is>
          <t>NYNÄSHAMN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46303</v>
      </c>
      <c r="F73" t="inlineStr">
        <is>
          <t>STOCKHOLMS LÄN</t>
        </is>
      </c>
      <c r="G73" t="inlineStr">
        <is>
          <t>NYNÄSHAMN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46303</v>
      </c>
      <c r="F74" t="inlineStr">
        <is>
          <t>STOCKHOLMS LÄN</t>
        </is>
      </c>
      <c r="G74" t="inlineStr">
        <is>
          <t>NYNÄSHAMN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46303</v>
      </c>
      <c r="F75" t="inlineStr">
        <is>
          <t>STOCKHOLMS LÄN</t>
        </is>
      </c>
      <c r="G75" t="inlineStr">
        <is>
          <t>NYNÄSHAMN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46303</v>
      </c>
      <c r="F76" t="inlineStr">
        <is>
          <t>STOCKHOLMS LÄN</t>
        </is>
      </c>
      <c r="G76" t="inlineStr">
        <is>
          <t>NYNÄSHAMN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46303</v>
      </c>
      <c r="F77" t="inlineStr">
        <is>
          <t>STOCKHOLMS LÄN</t>
        </is>
      </c>
      <c r="G77" t="inlineStr">
        <is>
          <t>NYNÄSHAMN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46303</v>
      </c>
      <c r="F78" t="inlineStr">
        <is>
          <t>STOCKHOLMS LÄN</t>
        </is>
      </c>
      <c r="G78" t="inlineStr">
        <is>
          <t>NYNÄSHAMN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46303</v>
      </c>
      <c r="F79" t="inlineStr">
        <is>
          <t>STOCKHOLMS LÄN</t>
        </is>
      </c>
      <c r="G79" t="inlineStr">
        <is>
          <t>NYNÄSHAMN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45139</v>
      </c>
      <c r="E80" s="1" t="n">
        <v>46303</v>
      </c>
      <c r="F80" t="inlineStr">
        <is>
          <t>STOCKHOLMS LÄN</t>
        </is>
      </c>
      <c r="G80" t="inlineStr">
        <is>
          <t>NYNÄSHAMN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46303</v>
      </c>
      <c r="F81" t="inlineStr">
        <is>
          <t>STOCKHOLMS LÄN</t>
        </is>
      </c>
      <c r="G81" t="inlineStr">
        <is>
          <t>NYNÄSHAMN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46303</v>
      </c>
      <c r="F82" t="inlineStr">
        <is>
          <t>STOCKHOLMS LÄN</t>
        </is>
      </c>
      <c r="G82" t="inlineStr">
        <is>
          <t>NYNÄSHAMN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63931-2021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44509</v>
      </c>
      <c r="E83" s="1" t="n">
        <v>46303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46303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45457</v>
      </c>
      <c r="E85" s="1" t="n">
        <v>46303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46303</v>
      </c>
      <c r="F86" t="inlineStr">
        <is>
          <t>STOCKHOLMS LÄN</t>
        </is>
      </c>
      <c r="G86" t="inlineStr">
        <is>
          <t>NYNÄSHAMN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46303</v>
      </c>
      <c r="F87" t="inlineStr">
        <is>
          <t>STOCKHOLMS LÄN</t>
        </is>
      </c>
      <c r="G87" t="inlineStr">
        <is>
          <t>NYNÄSHAMN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46303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46303</v>
      </c>
      <c r="F89" t="inlineStr">
        <is>
          <t>STOCKHOLMS LÄN</t>
        </is>
      </c>
      <c r="G89" t="inlineStr">
        <is>
          <t>NYNÄSHAMN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47089-2023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46303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46303</v>
      </c>
      <c r="F91" t="inlineStr">
        <is>
          <t>STOCKHOLMS LÄN</t>
        </is>
      </c>
      <c r="G91" t="inlineStr">
        <is>
          <t>NYNÄSHAMN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45344</v>
      </c>
      <c r="E92" s="1" t="n">
        <v>46303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46303</v>
      </c>
      <c r="F93" t="inlineStr">
        <is>
          <t>STOCKHOLMS LÄN</t>
        </is>
      </c>
      <c r="G93" t="inlineStr">
        <is>
          <t>NYNÄSHAMN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46303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46303</v>
      </c>
      <c r="F95" t="inlineStr">
        <is>
          <t>STOCKHOLMS LÄN</t>
        </is>
      </c>
      <c r="G95" t="inlineStr">
        <is>
          <t>NYNÄSHAMN</t>
        </is>
      </c>
      <c r="H95" t="inlineStr">
        <is>
          <t>Kyrkan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46303</v>
      </c>
      <c r="F96" t="inlineStr">
        <is>
          <t>STOCKHOLMS LÄN</t>
        </is>
      </c>
      <c r="G96" t="inlineStr">
        <is>
          <t>NYNÄSHAMN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46303</v>
      </c>
      <c r="F97" t="inlineStr">
        <is>
          <t>STOCKHOLMS LÄN</t>
        </is>
      </c>
      <c r="G97" t="inlineStr">
        <is>
          <t>NYNÄSHAMN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46303</v>
      </c>
      <c r="F98" t="inlineStr">
        <is>
          <t>STOCKHOLMS LÄN</t>
        </is>
      </c>
      <c r="G98" t="inlineStr">
        <is>
          <t>NYNÄSHAMN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46303</v>
      </c>
      <c r="F99" t="inlineStr">
        <is>
          <t>STOCKHOLMS LÄN</t>
        </is>
      </c>
      <c r="G99" t="inlineStr">
        <is>
          <t>NYNÄSHAMN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46085</v>
      </c>
      <c r="E100" s="1" t="n">
        <v>46303</v>
      </c>
      <c r="F100" t="inlineStr">
        <is>
          <t>STOCKHOLMS LÄN</t>
        </is>
      </c>
      <c r="G100" t="inlineStr">
        <is>
          <t>NYNÄSHAMN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46303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46210</v>
      </c>
      <c r="E102" s="1" t="n">
        <v>46303</v>
      </c>
      <c r="F102" t="inlineStr">
        <is>
          <t>STOCKHOLMS LÄN</t>
        </is>
      </c>
      <c r="G102" t="inlineStr">
        <is>
          <t>NYNÄSHAMN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46303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46303</v>
      </c>
      <c r="F104" t="inlineStr">
        <is>
          <t>STOCKHOLMS LÄN</t>
        </is>
      </c>
      <c r="G104" t="inlineStr">
        <is>
          <t>NYNÄSHAMN</t>
        </is>
      </c>
      <c r="I104" t="n">
        <v>11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46303</v>
      </c>
      <c r="F105" t="inlineStr">
        <is>
          <t>STOCKHOLMS LÄN</t>
        </is>
      </c>
      <c r="G105" t="inlineStr">
        <is>
          <t>NYNÄSHAMN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60977-2022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44908</v>
      </c>
      <c r="E106" s="1" t="n">
        <v>46303</v>
      </c>
      <c r="F106" t="inlineStr">
        <is>
          <t>STOCKHOLMS LÄN</t>
        </is>
      </c>
      <c r="G106" t="inlineStr">
        <is>
          <t>NYNÄSHAMN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33667-2022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44789</v>
      </c>
      <c r="E107" s="1" t="n">
        <v>46303</v>
      </c>
      <c r="F107" t="inlineStr">
        <is>
          <t>STOCKHOLMS LÄN</t>
        </is>
      </c>
      <c r="G107" t="inlineStr">
        <is>
          <t>NYNÄSHAMN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46303</v>
      </c>
      <c r="F108" t="inlineStr">
        <is>
          <t>STOCKHOLMS LÄN</t>
        </is>
      </c>
      <c r="G108" t="inlineStr">
        <is>
          <t>NYNÄSHAMN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46303</v>
      </c>
      <c r="F109" t="inlineStr">
        <is>
          <t>STOCKHOLMS LÄN</t>
        </is>
      </c>
      <c r="G109" t="inlineStr">
        <is>
          <t>NYNÄSHAMN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46303</v>
      </c>
      <c r="F110" t="inlineStr">
        <is>
          <t>STOCKHOLMS LÄN</t>
        </is>
      </c>
      <c r="G110" t="inlineStr">
        <is>
          <t>NYNÄSHAMN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44941</v>
      </c>
      <c r="E111" s="1" t="n">
        <v>46303</v>
      </c>
      <c r="F111" t="inlineStr">
        <is>
          <t>STOCKHOLMS LÄN</t>
        </is>
      </c>
      <c r="G111" t="inlineStr">
        <is>
          <t>NYNÄSHAMN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41767-2024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45561</v>
      </c>
      <c r="E112" s="1" t="n">
        <v>46303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46303</v>
      </c>
      <c r="F113" t="inlineStr">
        <is>
          <t>STOCKHOLMS LÄN</t>
        </is>
      </c>
      <c r="G113" t="inlineStr">
        <is>
          <t>NYNÄSHAMN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46303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46303</v>
      </c>
      <c r="F115" t="inlineStr">
        <is>
          <t>STOCKHOLMS LÄN</t>
        </is>
      </c>
      <c r="G115" t="inlineStr">
        <is>
          <t>NYNÄSHAMN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46303</v>
      </c>
      <c r="F116" t="inlineStr">
        <is>
          <t>STOCKHOLMS LÄN</t>
        </is>
      </c>
      <c r="G116" t="inlineStr">
        <is>
          <t>NYNÄSHAMN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46303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46303</v>
      </c>
      <c r="F118" t="inlineStr">
        <is>
          <t>STOCKHOLMS LÄN</t>
        </is>
      </c>
      <c r="G118" t="inlineStr">
        <is>
          <t>NYNÄSHAMN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46303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46303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46303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2026-10-08T02:08:53Z</dcterms:created>
  <dcterms:modified xmlns:dcterms="http://purl.org/dc/terms/" xmlns:xsi="http://www.w3.org/2001/XMLSchema-instance" xsi:type="dcterms:W3CDTF">2026-10-08T02:08:54Z</dcterms:modified>
</cp:coreProperties>
</file>