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46308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46308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27135-2026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46188</v>
      </c>
      <c r="E7" s="1" t="n">
        <v>46308</v>
      </c>
      <c r="F7" t="inlineStr">
        <is>
          <t>STOCKHOLMS LÄN</t>
        </is>
      </c>
      <c r="G7" t="inlineStr">
        <is>
          <t>NYNÄSHAMN</t>
        </is>
      </c>
      <c r="I7" t="n">
        <v>7.3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16</v>
      </c>
      <c r="U7" t="n">
        <v>0</v>
      </c>
      <c r="V7" s="2" t="inlineStr">
        <is>
          <t>Skogskorn
Jungfrulin
Ängsskära
Myskmadra
Skogsknipprot
Strävlosta
Blåsippa</t>
        </is>
      </c>
      <c r="W7">
        <f>HYPERLINK("https://klasma.github.io/Logging_0192/artfynd/A 27135-2026 artfynd.xlsx", "A 27135-2026")</f>
        <v/>
      </c>
      <c r="X7">
        <f>HYPERLINK("https://klasma.github.io/Logging_0192/kartor/A 27135-2026 karta.png", "A 27135-2026")</f>
        <v/>
      </c>
      <c r="Y7">
        <f>HYPERLINK("https://klasma.github.io/Logging_0192/kartor_geotiff/A 27135-2026 georefererad karta.tif", "A 27135-2026")</f>
        <v/>
      </c>
      <c r="AA7">
        <f>HYPERLINK("https://klasma.github.io/Logging_0192/klagomål/A 27135-2026 FSC-klagomål.docx", "A 27135-2026")</f>
        <v/>
      </c>
      <c r="AB7">
        <f>HYPERLINK("https://klasma.github.io/Logging_0192/klagomålsmail/A 27135-2026 FSC-klagomål mail.docx", "A 27135-2026")</f>
        <v/>
      </c>
      <c r="AC7">
        <f>HYPERLINK("https://klasma.github.io/Logging_0192/tillsyn/A 27135-2026 tillsynsbegäran.docx", "A 27135-2026")</f>
        <v/>
      </c>
      <c r="AD7">
        <f>HYPERLINK("https://klasma.github.io/Logging_0192/tillsynsmail/A 27135-2026 tillsynsbegäran mail.docx", "A 27135-2026")</f>
        <v/>
      </c>
    </row>
    <row r="8" ht="15" customHeight="1">
      <c r="A8" t="inlineStr">
        <is>
          <t>A 18378-2026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46125</v>
      </c>
      <c r="E8" s="1" t="n">
        <v>46308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7.5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65</v>
      </c>
      <c r="U8" t="n">
        <v>0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18378-2026 artfynd.xlsx", "A 18378-2026")</f>
        <v/>
      </c>
      <c r="X8">
        <f>HYPERLINK("https://klasma.github.io/Logging_0192/kartor/A 18378-2026 karta.png", "A 18378-2026")</f>
        <v/>
      </c>
      <c r="Y8">
        <f>HYPERLINK("https://klasma.github.io/Logging_0192/kartor_geotiff/A 18378-2026 georefererad karta.tif", "A 18378-2026")</f>
        <v/>
      </c>
      <c r="AA8">
        <f>HYPERLINK("https://klasma.github.io/Logging_0192/klagomål/A 18378-2026 FSC-klagomål.docx", "A 18378-2026")</f>
        <v/>
      </c>
      <c r="AB8">
        <f>HYPERLINK("https://klasma.github.io/Logging_0192/klagomålsmail/A 18378-2026 FSC-klagomål mail.docx", "A 18378-2026")</f>
        <v/>
      </c>
      <c r="AC8">
        <f>HYPERLINK("https://klasma.github.io/Logging_0192/tillsyn/A 18378-2026 tillsynsbegäran.docx", "A 18378-2026")</f>
        <v/>
      </c>
      <c r="AD8">
        <f>HYPERLINK("https://klasma.github.io/Logging_0192/tillsynsmail/A 18378-2026 tillsynsbegäran mail.docx", "A 18378-2026")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46308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46308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46308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46308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46308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46308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16309-2022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44670</v>
      </c>
      <c r="E15" s="1" t="n">
        <v>46308</v>
      </c>
      <c r="F15" t="inlineStr">
        <is>
          <t>STOCKHOLMS LÄN</t>
        </is>
      </c>
      <c r="G15" t="inlineStr">
        <is>
          <t>NYNÄSHAMN</t>
        </is>
      </c>
      <c r="I15" t="n">
        <v>7.7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Jungfrulin
Blåsippa
Gullviva</t>
        </is>
      </c>
      <c r="W15">
        <f>HYPERLINK("https://klasma.github.io/Logging_0192/artfynd/A 16309-2022 artfynd.xlsx", "A 16309-2022")</f>
        <v/>
      </c>
      <c r="X15">
        <f>HYPERLINK("https://klasma.github.io/Logging_0192/kartor/A 16309-2022 karta.png", "A 16309-2022")</f>
        <v/>
      </c>
      <c r="Y15">
        <f>HYPERLINK("https://klasma.github.io/Logging_0192/kartor_geotiff/A 16309-2022 georefererad karta.tif", "A 16309-2022")</f>
        <v/>
      </c>
      <c r="AA15">
        <f>HYPERLINK("https://klasma.github.io/Logging_0192/klagomål/A 16309-2022 FSC-klagomål.docx", "A 16309-2022")</f>
        <v/>
      </c>
      <c r="AB15">
        <f>HYPERLINK("https://klasma.github.io/Logging_0192/klagomålsmail/A 16309-2022 FSC-klagomål mail.docx", "A 16309-2022")</f>
        <v/>
      </c>
      <c r="AC15">
        <f>HYPERLINK("https://klasma.github.io/Logging_0192/tillsyn/A 16309-2022 tillsynsbegäran.docx", "A 16309-2022")</f>
        <v/>
      </c>
      <c r="AD15">
        <f>HYPERLINK("https://klasma.github.io/Logging_0192/tillsynsmail/A 16309-2022 tillsynsbegäran mail.docx", "A 16309-2022")</f>
        <v/>
      </c>
    </row>
    <row r="16" ht="15" customHeight="1">
      <c r="A16" t="inlineStr">
        <is>
          <t>A 22716-2025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45789</v>
      </c>
      <c r="E16" s="1" t="n">
        <v>46308</v>
      </c>
      <c r="F16" t="inlineStr">
        <is>
          <t>STOCKHOLMS LÄN</t>
        </is>
      </c>
      <c r="G16" t="inlineStr">
        <is>
          <t>NYNÄSHAMN</t>
        </is>
      </c>
      <c r="H16" t="inlineStr">
        <is>
          <t>Kommuner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Björksplintborre
Stekelbock
Revlummer</t>
        </is>
      </c>
      <c r="W16">
        <f>HYPERLINK("https://klasma.github.io/Logging_0192/artfynd/A 22716-2025 artfynd.xlsx", "A 22716-2025")</f>
        <v/>
      </c>
      <c r="X16">
        <f>HYPERLINK("https://klasma.github.io/Logging_0192/kartor/A 22716-2025 karta.png", "A 22716-2025")</f>
        <v/>
      </c>
      <c r="Y16">
        <f>HYPERLINK("https://klasma.github.io/Logging_0192/kartor_geotiff/A 22716-2025 georefererad karta.tif", "A 22716-2025")</f>
        <v/>
      </c>
      <c r="AA16">
        <f>HYPERLINK("https://klasma.github.io/Logging_0192/klagomål/A 22716-2025 FSC-klagomål.docx", "A 22716-2025")</f>
        <v/>
      </c>
      <c r="AB16">
        <f>HYPERLINK("https://klasma.github.io/Logging_0192/klagomålsmail/A 22716-2025 FSC-klagomål mail.docx", "A 22716-2025")</f>
        <v/>
      </c>
      <c r="AC16">
        <f>HYPERLINK("https://klasma.github.io/Logging_0192/tillsyn/A 22716-2025 tillsynsbegäran.docx", "A 22716-2025")</f>
        <v/>
      </c>
      <c r="AD16">
        <f>HYPERLINK("https://klasma.github.io/Logging_0192/tillsynsmail/A 22716-2025 tillsynsbegäran mail.docx", "A 22716-2025")</f>
        <v/>
      </c>
    </row>
    <row r="17" ht="15" customHeight="1">
      <c r="A17" t="inlineStr">
        <is>
          <t>A 62013-2023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45266</v>
      </c>
      <c r="E17" s="1" t="n">
        <v>46308</v>
      </c>
      <c r="F17" t="inlineStr">
        <is>
          <t>STOCKHOLMS LÄN</t>
        </is>
      </c>
      <c r="G17" t="inlineStr">
        <is>
          <t>NYNÄSHAMN</t>
        </is>
      </c>
      <c r="I17" t="n">
        <v>1.6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Skogsknipprot
Törnskata
Gullviva</t>
        </is>
      </c>
      <c r="W17">
        <f>HYPERLINK("https://klasma.github.io/Logging_0192/artfynd/A 62013-2023 artfynd.xlsx", "A 62013-2023")</f>
        <v/>
      </c>
      <c r="X17">
        <f>HYPERLINK("https://klasma.github.io/Logging_0192/kartor/A 62013-2023 karta.png", "A 62013-2023")</f>
        <v/>
      </c>
      <c r="Y17">
        <f>HYPERLINK("https://klasma.github.io/Logging_0192/kartor_geotiff/A 62013-2023 georefererad karta.tif", "A 62013-2023")</f>
        <v/>
      </c>
      <c r="AA17">
        <f>HYPERLINK("https://klasma.github.io/Logging_0192/klagomål/A 62013-2023 FSC-klagomål.docx", "A 62013-2023")</f>
        <v/>
      </c>
      <c r="AB17">
        <f>HYPERLINK("https://klasma.github.io/Logging_0192/klagomålsmail/A 62013-2023 FSC-klagomål mail.docx", "A 62013-2023")</f>
        <v/>
      </c>
      <c r="AC17">
        <f>HYPERLINK("https://klasma.github.io/Logging_0192/tillsyn/A 62013-2023 tillsynsbegäran.docx", "A 62013-2023")</f>
        <v/>
      </c>
      <c r="AD17">
        <f>HYPERLINK("https://klasma.github.io/Logging_0192/tillsynsmail/A 62013-2023 tillsynsbegäran mail.docx", "A 62013-2023")</f>
        <v/>
      </c>
      <c r="AE17">
        <f>HYPERLINK("https://klasma.github.io/Logging_0192/fåglar/A 62013-2023 prioriterade fågelarter.docx", "A 62013-2023")</f>
        <v/>
      </c>
    </row>
    <row r="18" ht="15" customHeight="1">
      <c r="A18" t="inlineStr">
        <is>
          <t>A 12033-2026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46308</v>
      </c>
      <c r="F18" t="inlineStr">
        <is>
          <t>STOCKHOLMS LÄN</t>
        </is>
      </c>
      <c r="G18" t="inlineStr">
        <is>
          <t>NYNÄSHAMN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Fjällvråk
Havsörn</t>
        </is>
      </c>
      <c r="W18">
        <f>HYPERLINK("https://klasma.github.io/Logging_0192/artfynd/A 12033-2026 artfynd.xlsx", "A 12033-2026")</f>
        <v/>
      </c>
      <c r="X18">
        <f>HYPERLINK("https://klasma.github.io/Logging_0192/kartor/A 12033-2026 karta.png", "A 12033-2026")</f>
        <v/>
      </c>
      <c r="Y18">
        <f>HYPERLINK("https://klasma.github.io/Logging_0192/kartor_geotiff/A 12033-2026 georefererad karta.tif", "A 12033-2026")</f>
        <v/>
      </c>
      <c r="AA18">
        <f>HYPERLINK("https://klasma.github.io/Logging_0192/klagomål/A 12033-2026 FSC-klagomål.docx", "A 12033-2026")</f>
        <v/>
      </c>
      <c r="AB18">
        <f>HYPERLINK("https://klasma.github.io/Logging_0192/klagomålsmail/A 12033-2026 FSC-klagomål mail.docx", "A 12033-2026")</f>
        <v/>
      </c>
      <c r="AC18">
        <f>HYPERLINK("https://klasma.github.io/Logging_0192/tillsyn/A 12033-2026 tillsynsbegäran.docx", "A 12033-2026")</f>
        <v/>
      </c>
      <c r="AD18">
        <f>HYPERLINK("https://klasma.github.io/Logging_0192/tillsynsmail/A 12033-2026 tillsynsbegäran mail.docx", "A 12033-2026")</f>
        <v/>
      </c>
      <c r="AE18">
        <f>HYPERLINK("https://klasma.github.io/Logging_0192/fåglar/A 12033-2026 prioriterade fågelarter.docx", "A 12033-2026")</f>
        <v/>
      </c>
    </row>
    <row r="19" ht="15" customHeight="1">
      <c r="A19" t="inlineStr">
        <is>
          <t>A 64189-2023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45279</v>
      </c>
      <c r="E19" s="1" t="n">
        <v>46308</v>
      </c>
      <c r="F19" t="inlineStr">
        <is>
          <t>STOCKHOLMS LÄN</t>
        </is>
      </c>
      <c r="G19" t="inlineStr">
        <is>
          <t>NYNÄSHAMN</t>
        </is>
      </c>
      <c r="I19" t="n">
        <v>1.5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Blåsippa
Gullviva</t>
        </is>
      </c>
      <c r="W19">
        <f>HYPERLINK("https://klasma.github.io/Logging_0192/artfynd/A 64189-2023 artfynd.xlsx", "A 64189-2023")</f>
        <v/>
      </c>
      <c r="X19">
        <f>HYPERLINK("https://klasma.github.io/Logging_0192/kartor/A 64189-2023 karta.png", "A 64189-2023")</f>
        <v/>
      </c>
      <c r="Y19">
        <f>HYPERLINK("https://klasma.github.io/Logging_0192/kartor_geotiff/A 64189-2023 georefererad karta.tif", "A 64189-2023")</f>
        <v/>
      </c>
      <c r="AA19">
        <f>HYPERLINK("https://klasma.github.io/Logging_0192/klagomål/A 64189-2023 FSC-klagomål.docx", "A 64189-2023")</f>
        <v/>
      </c>
      <c r="AB19">
        <f>HYPERLINK("https://klasma.github.io/Logging_0192/klagomålsmail/A 64189-2023 FSC-klagomål mail.docx", "A 64189-2023")</f>
        <v/>
      </c>
      <c r="AC19">
        <f>HYPERLINK("https://klasma.github.io/Logging_0192/tillsyn/A 64189-2023 tillsynsbegäran.docx", "A 64189-2023")</f>
        <v/>
      </c>
      <c r="AD19">
        <f>HYPERLINK("https://klasma.github.io/Logging_0192/tillsynsmail/A 64189-2023 tillsynsbegäran mail.docx", "A 64189-2023")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46308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46308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46308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46308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46308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46308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46308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46308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23906-2026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46308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7.9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HYPERLINK("https://klasma.github.io/Logging_0192/artfynd/A 23906-2026 artfynd.xlsx", "A 23906-2026")</f>
        <v/>
      </c>
      <c r="X28">
        <f>HYPERLINK("https://klasma.github.io/Logging_0192/kartor/A 23906-2026 karta.png", "A 23906-2026")</f>
        <v/>
      </c>
      <c r="Y28">
        <f>HYPERLINK("https://klasma.github.io/Logging_0192/kartor_geotiff/A 23906-2026 georefererad karta.tif", "A 23906-2026")</f>
        <v/>
      </c>
      <c r="AA28">
        <f>HYPERLINK("https://klasma.github.io/Logging_0192/klagomål/A 23906-2026 FSC-klagomål.docx", "A 23906-2026")</f>
        <v/>
      </c>
      <c r="AB28">
        <f>HYPERLINK("https://klasma.github.io/Logging_0192/klagomålsmail/A 23906-2026 FSC-klagomål mail.docx", "A 23906-2026")</f>
        <v/>
      </c>
      <c r="AC28">
        <f>HYPERLINK("https://klasma.github.io/Logging_0192/tillsyn/A 23906-2026 tillsynsbegäran.docx", "A 23906-2026")</f>
        <v/>
      </c>
      <c r="AD28">
        <f>HYPERLINK("https://klasma.github.io/Logging_0192/tillsynsmail/A 23906-2026 tillsynsbegäran mail.docx", "A 23906-2026")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46308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46308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46308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HYPERLINK("https://klasma.github.io/Logging_0192/artfynd/A 64196-2023 artfynd.xlsx", "A 64196-2023")</f>
        <v/>
      </c>
      <c r="X31">
        <f>HYPERLINK("https://klasma.github.io/Logging_0192/kartor/A 64196-2023 karta.png", "A 64196-2023")</f>
        <v/>
      </c>
      <c r="Y31">
        <f>HYPERLINK("https://klasma.github.io/Logging_0192/kartor_geotiff/A 64196-2023 georefererad karta.tif", "A 64196-2023")</f>
        <v/>
      </c>
      <c r="AA31">
        <f>HYPERLINK("https://klasma.github.io/Logging_0192/klagomål/A 64196-2023 FSC-klagomål.docx", "A 64196-2023")</f>
        <v/>
      </c>
      <c r="AB31">
        <f>HYPERLINK("https://klasma.github.io/Logging_0192/klagomålsmail/A 64196-2023 FSC-klagomål mail.docx", "A 64196-2023")</f>
        <v/>
      </c>
      <c r="AC31">
        <f>HYPERLINK("https://klasma.github.io/Logging_0192/tillsyn/A 64196-2023 tillsynsbegäran.docx", "A 64196-2023")</f>
        <v/>
      </c>
      <c r="AD31">
        <f>HYPERLINK("https://klasma.github.io/Logging_0192/tillsynsmail/A 64196-2023 tillsynsbegäran mail.docx", "A 64196-2023")</f>
        <v/>
      </c>
    </row>
    <row r="32" ht="15" customHeight="1">
      <c r="A32" t="inlineStr">
        <is>
          <t>A 32074-2023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46308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Grå kantarell</t>
        </is>
      </c>
      <c r="W32">
        <f>HYPERLINK("https://klasma.github.io/Logging_0192/artfynd/A 32074-2023 artfynd.xlsx", "A 32074-2023")</f>
        <v/>
      </c>
      <c r="X32">
        <f>HYPERLINK("https://klasma.github.io/Logging_0192/kartor/A 32074-2023 karta.png", "A 32074-2023")</f>
        <v/>
      </c>
      <c r="Y32">
        <f>HYPERLINK("https://klasma.github.io/Logging_0192/kartor_geotiff/A 32074-2023 georefererad karta.tif", "A 32074-2023")</f>
        <v/>
      </c>
      <c r="AA32">
        <f>HYPERLINK("https://klasma.github.io/Logging_0192/klagomål/A 32074-2023 FSC-klagomål.docx", "A 32074-2023")</f>
        <v/>
      </c>
      <c r="AB32">
        <f>HYPERLINK("https://klasma.github.io/Logging_0192/klagomålsmail/A 32074-2023 FSC-klagomål mail.docx", "A 32074-2023")</f>
        <v/>
      </c>
      <c r="AC32">
        <f>HYPERLINK("https://klasma.github.io/Logging_0192/tillsyn/A 32074-2023 tillsynsbegäran.docx", "A 32074-2023")</f>
        <v/>
      </c>
      <c r="AD32">
        <f>HYPERLINK("https://klasma.github.io/Logging_0192/tillsynsmail/A 32074-2023 tillsynsbegäran mail.docx", "A 32074-2023")</f>
        <v/>
      </c>
    </row>
    <row r="33" ht="15" customHeight="1">
      <c r="A33" t="inlineStr">
        <is>
          <t>A 9017-2023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44979</v>
      </c>
      <c r="E33" s="1" t="n">
        <v>46308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2.7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Tofsvipa</t>
        </is>
      </c>
      <c r="W33">
        <f>HYPERLINK("https://klasma.github.io/Logging_0192/artfynd/A 9017-2023 artfynd.xlsx", "A 9017-2023")</f>
        <v/>
      </c>
      <c r="X33">
        <f>HYPERLINK("https://klasma.github.io/Logging_0192/kartor/A 9017-2023 karta.png", "A 9017-2023")</f>
        <v/>
      </c>
      <c r="Y33">
        <f>HYPERLINK("https://klasma.github.io/Logging_0192/kartor_geotiff/A 9017-2023 georefererad karta.tif", "A 9017-2023")</f>
        <v/>
      </c>
      <c r="AA33">
        <f>HYPERLINK("https://klasma.github.io/Logging_0192/klagomål/A 9017-2023 FSC-klagomål.docx", "A 9017-2023")</f>
        <v/>
      </c>
      <c r="AB33">
        <f>HYPERLINK("https://klasma.github.io/Logging_0192/klagomålsmail/A 9017-2023 FSC-klagomål mail.docx", "A 9017-2023")</f>
        <v/>
      </c>
      <c r="AC33">
        <f>HYPERLINK("https://klasma.github.io/Logging_0192/tillsyn/A 9017-2023 tillsynsbegäran.docx", "A 9017-2023")</f>
        <v/>
      </c>
      <c r="AD33">
        <f>HYPERLINK("https://klasma.github.io/Logging_0192/tillsynsmail/A 9017-2023 tillsynsbegäran mail.docx", "A 9017-2023")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46308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Stubbspretmossa</t>
        </is>
      </c>
      <c r="W34">
        <f>HYPERLINK("https://klasma.github.io/Logging_0192/artfynd/A 40895-2024 artfynd.xlsx", "A 40895-2024")</f>
        <v/>
      </c>
      <c r="X34">
        <f>HYPERLINK("https://klasma.github.io/Logging_0192/kartor/A 40895-2024 karta.png", "A 40895-2024")</f>
        <v/>
      </c>
      <c r="Y34">
        <f>HYPERLINK("https://klasma.github.io/Logging_0192/kartor_geotiff/A 40895-2024 georefererad karta.tif", "A 40895-2024")</f>
        <v/>
      </c>
      <c r="AA34">
        <f>HYPERLINK("https://klasma.github.io/Logging_0192/klagomål/A 40895-2024 FSC-klagomål.docx", "A 40895-2024")</f>
        <v/>
      </c>
      <c r="AB34">
        <f>HYPERLINK("https://klasma.github.io/Logging_0192/klagomålsmail/A 40895-2024 FSC-klagomål mail.docx", "A 40895-2024")</f>
        <v/>
      </c>
      <c r="AC34">
        <f>HYPERLINK("https://klasma.github.io/Logging_0192/tillsyn/A 40895-2024 tillsynsbegäran.docx", "A 40895-2024")</f>
        <v/>
      </c>
      <c r="AD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46308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Fiskgjuse</t>
        </is>
      </c>
      <c r="W35">
        <f>HYPERLINK("https://klasma.github.io/Logging_0192/artfynd/A 32011-2023 artfynd.xlsx", "A 32011-2023")</f>
        <v/>
      </c>
      <c r="X35">
        <f>HYPERLINK("https://klasma.github.io/Logging_0192/kartor/A 32011-2023 karta.png", "A 32011-2023")</f>
        <v/>
      </c>
      <c r="Y35">
        <f>HYPERLINK("https://klasma.github.io/Logging_0192/kartor_geotiff/A 32011-2023 georefererad karta.tif", "A 32011-2023")</f>
        <v/>
      </c>
      <c r="AA35">
        <f>HYPERLINK("https://klasma.github.io/Logging_0192/klagomål/A 32011-2023 FSC-klagomål.docx", "A 32011-2023")</f>
        <v/>
      </c>
      <c r="AB35">
        <f>HYPERLINK("https://klasma.github.io/Logging_0192/klagomålsmail/A 32011-2023 FSC-klagomål mail.docx", "A 32011-2023")</f>
        <v/>
      </c>
      <c r="AC35">
        <f>HYPERLINK("https://klasma.github.io/Logging_0192/tillsyn/A 32011-2023 tillsynsbegäran.docx", "A 32011-2023")</f>
        <v/>
      </c>
      <c r="AD35">
        <f>HYPERLINK("https://klasma.github.io/Logging_0192/tillsynsmail/A 32011-2023 tillsynsbegäran mail.docx", "A 32011-2023")</f>
        <v/>
      </c>
      <c r="AE35">
        <f>HYPERLINK("https://klasma.github.io/Logging_0192/fåglar/A 32011-2023 prioriterade fågelarter.docx", "A 32011-2023")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46308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46308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46308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46308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46308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46308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46308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46308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46308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10224-2023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46308</v>
      </c>
      <c r="F45" t="inlineStr">
        <is>
          <t>STOCKHOLMS LÄN</t>
        </is>
      </c>
      <c r="G45" t="inlineStr">
        <is>
          <t>NYNÄSHAMN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8932-2023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44979</v>
      </c>
      <c r="E46" s="1" t="n">
        <v>46308</v>
      </c>
      <c r="F46" t="inlineStr">
        <is>
          <t>STOCKHOLMS LÄN</t>
        </is>
      </c>
      <c r="G46" t="inlineStr">
        <is>
          <t>NYNÄSHAMN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46308</v>
      </c>
      <c r="F47" t="inlineStr">
        <is>
          <t>STOCKHOLMS LÄN</t>
        </is>
      </c>
      <c r="G47" t="inlineStr">
        <is>
          <t>NYNÄSHAMN</t>
        </is>
      </c>
      <c r="H47" t="inlineStr">
        <is>
          <t>Kommuner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44680</v>
      </c>
      <c r="E48" s="1" t="n">
        <v>46308</v>
      </c>
      <c r="F48" t="inlineStr">
        <is>
          <t>STOCKHOLMS LÄN</t>
        </is>
      </c>
      <c r="G48" t="inlineStr">
        <is>
          <t>NYNÄSHAMN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33787-2024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46308</v>
      </c>
      <c r="F49" t="inlineStr">
        <is>
          <t>STOCKHOLMS LÄN</t>
        </is>
      </c>
      <c r="G49" t="inlineStr">
        <is>
          <t>NYNÄSHAMN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44619-2023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46308</v>
      </c>
      <c r="F50" t="inlineStr">
        <is>
          <t>STOCKHOLMS LÄN</t>
        </is>
      </c>
      <c r="G50" t="inlineStr">
        <is>
          <t>NYNÄSHAMN</t>
        </is>
      </c>
      <c r="I50" t="n">
        <v>7.6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45664</v>
      </c>
      <c r="E51" s="1" t="n">
        <v>46308</v>
      </c>
      <c r="F51" t="inlineStr">
        <is>
          <t>STOCKHOLMS LÄN</t>
        </is>
      </c>
      <c r="G51" t="inlineStr">
        <is>
          <t>NYNÄSHAMN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45928</v>
      </c>
      <c r="E52" s="1" t="n">
        <v>46308</v>
      </c>
      <c r="F52" t="inlineStr">
        <is>
          <t>STOCKHOLMS LÄN</t>
        </is>
      </c>
      <c r="G52" t="inlineStr">
        <is>
          <t>NYNÄSHAMN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46308</v>
      </c>
      <c r="F53" t="inlineStr">
        <is>
          <t>STOCKHOLMS LÄN</t>
        </is>
      </c>
      <c r="G53" t="inlineStr">
        <is>
          <t>NYNÄSHAMN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45935</v>
      </c>
      <c r="E54" s="1" t="n">
        <v>46308</v>
      </c>
      <c r="F54" t="inlineStr">
        <is>
          <t>STOCKHOLMS LÄN</t>
        </is>
      </c>
      <c r="G54" t="inlineStr">
        <is>
          <t>NYNÄSHAMN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35356-2023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45146</v>
      </c>
      <c r="E55" s="1" t="n">
        <v>46308</v>
      </c>
      <c r="F55" t="inlineStr">
        <is>
          <t>STOCKHOLMS LÄN</t>
        </is>
      </c>
      <c r="G55" t="inlineStr">
        <is>
          <t>NYNÄSHAMN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51954-2025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45952</v>
      </c>
      <c r="E56" s="1" t="n">
        <v>46308</v>
      </c>
      <c r="F56" t="inlineStr">
        <is>
          <t>STOCKHOLMS LÄN</t>
        </is>
      </c>
      <c r="G56" t="inlineStr">
        <is>
          <t>NYNÄSHAMN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44574</v>
      </c>
      <c r="E57" s="1" t="n">
        <v>46308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15465-2025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45747</v>
      </c>
      <c r="E58" s="1" t="n">
        <v>46308</v>
      </c>
      <c r="F58" t="inlineStr">
        <is>
          <t>STOCKHOLMS LÄN</t>
        </is>
      </c>
      <c r="G58" t="inlineStr">
        <is>
          <t>NYNÄSHAMN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12032-2026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46085</v>
      </c>
      <c r="E59" s="1" t="n">
        <v>46308</v>
      </c>
      <c r="F59" t="inlineStr">
        <is>
          <t>STOCKHOLMS LÄN</t>
        </is>
      </c>
      <c r="G59" t="inlineStr">
        <is>
          <t>NYNÄSHAMN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56210-2025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46308</v>
      </c>
      <c r="F60" t="inlineStr">
        <is>
          <t>STOCKHOLMS LÄN</t>
        </is>
      </c>
      <c r="G60" t="inlineStr">
        <is>
          <t>NYNÄSHAMN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56385-2025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45974</v>
      </c>
      <c r="E61" s="1" t="n">
        <v>46308</v>
      </c>
      <c r="F61" t="inlineStr">
        <is>
          <t>STOCKHOLMS LÄN</t>
        </is>
      </c>
      <c r="G61" t="inlineStr">
        <is>
          <t>NYNÄSHAMN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22730-2025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45789</v>
      </c>
      <c r="E62" s="1" t="n">
        <v>46308</v>
      </c>
      <c r="F62" t="inlineStr">
        <is>
          <t>STOCKHOLMS LÄN</t>
        </is>
      </c>
      <c r="G62" t="inlineStr">
        <is>
          <t>NYNÄSHAMN</t>
        </is>
      </c>
      <c r="H62" t="inlineStr">
        <is>
          <t>Kommuner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45457</v>
      </c>
      <c r="E63" s="1" t="n">
        <v>46308</v>
      </c>
      <c r="F63" t="inlineStr">
        <is>
          <t>STOCKHOLMS LÄN</t>
        </is>
      </c>
      <c r="G63" t="inlineStr">
        <is>
          <t>NYNÄSHAMN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46308</v>
      </c>
      <c r="F64" t="inlineStr">
        <is>
          <t>STOCKHOLMS LÄN</t>
        </is>
      </c>
      <c r="G64" t="inlineStr">
        <is>
          <t>NYNÄSHAMN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46308</v>
      </c>
      <c r="F65" t="inlineStr">
        <is>
          <t>STOCKHOLMS LÄN</t>
        </is>
      </c>
      <c r="G65" t="inlineStr">
        <is>
          <t>NYNÄSHAMN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46308</v>
      </c>
      <c r="F66" t="inlineStr">
        <is>
          <t>STOCKHOLMS LÄN</t>
        </is>
      </c>
      <c r="G66" t="inlineStr">
        <is>
          <t>NYNÄSHAMN</t>
        </is>
      </c>
      <c r="H66" t="inlineStr">
        <is>
          <t>Övriga statliga verk och myndigheter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46237</v>
      </c>
      <c r="E67" s="1" t="n">
        <v>46308</v>
      </c>
      <c r="F67" t="inlineStr">
        <is>
          <t>STOCKHOLMS LÄN</t>
        </is>
      </c>
      <c r="G67" t="inlineStr">
        <is>
          <t>NYNÄSHAMN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46237</v>
      </c>
      <c r="E68" s="1" t="n">
        <v>46308</v>
      </c>
      <c r="F68" t="inlineStr">
        <is>
          <t>STOCKHOLMS LÄN</t>
        </is>
      </c>
      <c r="G68" t="inlineStr">
        <is>
          <t>NYNÄSHAMN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52953-2024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46308</v>
      </c>
      <c r="F69" t="inlineStr">
        <is>
          <t>STOCKHOLMS LÄN</t>
        </is>
      </c>
      <c r="G69" t="inlineStr">
        <is>
          <t>NYNÄSHAMN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46308</v>
      </c>
      <c r="F70" t="inlineStr">
        <is>
          <t>STOCKHOLMS LÄN</t>
        </is>
      </c>
      <c r="G70" t="inlineStr">
        <is>
          <t>NYNÄSHAMN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46244</v>
      </c>
      <c r="E71" s="1" t="n">
        <v>46308</v>
      </c>
      <c r="F71" t="inlineStr">
        <is>
          <t>STOCKHOLMS LÄN</t>
        </is>
      </c>
      <c r="G71" t="inlineStr">
        <is>
          <t>NYNÄSHAMN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7180-2024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45344</v>
      </c>
      <c r="E72" s="1" t="n">
        <v>46308</v>
      </c>
      <c r="F72" t="inlineStr">
        <is>
          <t>STOCKHOLMS LÄN</t>
        </is>
      </c>
      <c r="G72" t="inlineStr">
        <is>
          <t>NYNÄSHAMN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46052</v>
      </c>
      <c r="E73" s="1" t="n">
        <v>46308</v>
      </c>
      <c r="F73" t="inlineStr">
        <is>
          <t>STOCKHOLMS LÄN</t>
        </is>
      </c>
      <c r="G73" t="inlineStr">
        <is>
          <t>NYNÄSHAMN</t>
        </is>
      </c>
      <c r="H73" t="inlineStr">
        <is>
          <t>Kyrkan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33060-2026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46245</v>
      </c>
      <c r="E74" s="1" t="n">
        <v>46308</v>
      </c>
      <c r="F74" t="inlineStr">
        <is>
          <t>STOCKHOLMS LÄN</t>
        </is>
      </c>
      <c r="G74" t="inlineStr">
        <is>
          <t>NYNÄSHAMN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33067-2026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46245</v>
      </c>
      <c r="E75" s="1" t="n">
        <v>46308</v>
      </c>
      <c r="F75" t="inlineStr">
        <is>
          <t>STOCKHOLMS LÄN</t>
        </is>
      </c>
      <c r="G75" t="inlineStr">
        <is>
          <t>NYNÄSHAMN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45869</v>
      </c>
      <c r="E76" s="1" t="n">
        <v>46308</v>
      </c>
      <c r="F76" t="inlineStr">
        <is>
          <t>STOCKHOLMS LÄN</t>
        </is>
      </c>
      <c r="G76" t="inlineStr">
        <is>
          <t>NYNÄSHAMN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36468-2025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45869</v>
      </c>
      <c r="E77" s="1" t="n">
        <v>46308</v>
      </c>
      <c r="F77" t="inlineStr">
        <is>
          <t>STOCKHOLMS LÄN</t>
        </is>
      </c>
      <c r="G77" t="inlineStr">
        <is>
          <t>NYNÄSHAMN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33063-2026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46245</v>
      </c>
      <c r="E78" s="1" t="n">
        <v>46308</v>
      </c>
      <c r="F78" t="inlineStr">
        <is>
          <t>STOCKHOLMS LÄN</t>
        </is>
      </c>
      <c r="G78" t="inlineStr">
        <is>
          <t>NYNÄSHAMN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52950-2024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46308</v>
      </c>
      <c r="F79" t="inlineStr">
        <is>
          <t>STOCKHOLMS LÄN</t>
        </is>
      </c>
      <c r="G79" t="inlineStr">
        <is>
          <t>NYNÄSHAMN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46308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44809</v>
      </c>
      <c r="E81" s="1" t="n">
        <v>46308</v>
      </c>
      <c r="F81" t="inlineStr">
        <is>
          <t>STOCKHOLMS LÄN</t>
        </is>
      </c>
      <c r="G81" t="inlineStr">
        <is>
          <t>NYNÄSHAMN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45469</v>
      </c>
      <c r="E82" s="1" t="n">
        <v>46308</v>
      </c>
      <c r="F82" t="inlineStr">
        <is>
          <t>STOCKHOLMS LÄN</t>
        </is>
      </c>
      <c r="G82" t="inlineStr">
        <is>
          <t>NYNÄSHAMN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46308</v>
      </c>
      <c r="F83" t="inlineStr">
        <is>
          <t>STOCKHOLMS LÄN</t>
        </is>
      </c>
      <c r="G83" t="inlineStr">
        <is>
          <t>NYNÄSHAMN</t>
        </is>
      </c>
      <c r="H83" t="inlineStr">
        <is>
          <t>Kommuner</t>
        </is>
      </c>
      <c r="I83" t="n">
        <v>8.1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46308</v>
      </c>
      <c r="F84" t="inlineStr">
        <is>
          <t>STOCKHOLMS LÄN</t>
        </is>
      </c>
      <c r="G84" t="inlineStr">
        <is>
          <t>NYNÄSHAMN</t>
        </is>
      </c>
      <c r="I84" t="n">
        <v>11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60977-2022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44908</v>
      </c>
      <c r="E85" s="1" t="n">
        <v>46308</v>
      </c>
      <c r="F85" t="inlineStr">
        <is>
          <t>STOCKHOLMS LÄN</t>
        </is>
      </c>
      <c r="G85" t="inlineStr">
        <is>
          <t>NYNÄSHAMN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63931-2021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46308</v>
      </c>
      <c r="F86" t="inlineStr">
        <is>
          <t>STOCKHOLMS LÄN</t>
        </is>
      </c>
      <c r="G86" t="inlineStr">
        <is>
          <t>NYNÄSHAMN</t>
        </is>
      </c>
      <c r="H86" t="inlineStr">
        <is>
          <t>Kommuner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62038-2023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46308</v>
      </c>
      <c r="F87" t="inlineStr">
        <is>
          <t>STOCKHOLMS LÄN</t>
        </is>
      </c>
      <c r="G87" t="inlineStr">
        <is>
          <t>NYNÄSHAMN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46308</v>
      </c>
      <c r="F88" t="inlineStr">
        <is>
          <t>STOCKHOLMS LÄN</t>
        </is>
      </c>
      <c r="G88" t="inlineStr">
        <is>
          <t>NYNÄSHAMN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46308</v>
      </c>
      <c r="F89" t="inlineStr">
        <is>
          <t>STOCKHOLMS LÄN</t>
        </is>
      </c>
      <c r="G89" t="inlineStr">
        <is>
          <t>NYNÄSHAMN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36052-2023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45149</v>
      </c>
      <c r="E90" s="1" t="n">
        <v>46308</v>
      </c>
      <c r="F90" t="inlineStr">
        <is>
          <t>STOCKHOLMS LÄN</t>
        </is>
      </c>
      <c r="G90" t="inlineStr">
        <is>
          <t>NYNÄSHAMN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46308</v>
      </c>
      <c r="F91" t="inlineStr">
        <is>
          <t>STOCKHOLMS LÄN</t>
        </is>
      </c>
      <c r="G91" t="inlineStr">
        <is>
          <t>NYNÄSHAMN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46308</v>
      </c>
      <c r="F92" t="inlineStr">
        <is>
          <t>STOCKHOLMS LÄN</t>
        </is>
      </c>
      <c r="G92" t="inlineStr">
        <is>
          <t>NYNÄSHAMN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46308</v>
      </c>
      <c r="F93" t="inlineStr">
        <is>
          <t>STOCKHOLMS LÄN</t>
        </is>
      </c>
      <c r="G93" t="inlineStr">
        <is>
          <t>NYNÄSHAMN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46308</v>
      </c>
      <c r="F94" t="inlineStr">
        <is>
          <t>STOCKHOLMS LÄN</t>
        </is>
      </c>
      <c r="G94" t="inlineStr">
        <is>
          <t>NYNÄSHAMN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46308</v>
      </c>
      <c r="F95" t="inlineStr">
        <is>
          <t>STOCKHOLMS LÄN</t>
        </is>
      </c>
      <c r="G95" t="inlineStr">
        <is>
          <t>NYNÄSHAMN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45173</v>
      </c>
      <c r="E96" s="1" t="n">
        <v>46308</v>
      </c>
      <c r="F96" t="inlineStr">
        <is>
          <t>STOCKHOLMS LÄN</t>
        </is>
      </c>
      <c r="G96" t="inlineStr">
        <is>
          <t>NYNÄSHAMN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44941</v>
      </c>
      <c r="E97" s="1" t="n">
        <v>46308</v>
      </c>
      <c r="F97" t="inlineStr">
        <is>
          <t>STOCKHOLMS LÄN</t>
        </is>
      </c>
      <c r="G97" t="inlineStr">
        <is>
          <t>NYNÄSHAMN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21192-2023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45062</v>
      </c>
      <c r="E98" s="1" t="n">
        <v>46308</v>
      </c>
      <c r="F98" t="inlineStr">
        <is>
          <t>STOCKHOLMS LÄN</t>
        </is>
      </c>
      <c r="G98" t="inlineStr">
        <is>
          <t>NYNÄSHAMN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46308</v>
      </c>
      <c r="F99" t="inlineStr">
        <is>
          <t>STOCKHOLMS LÄN</t>
        </is>
      </c>
      <c r="G99" t="inlineStr">
        <is>
          <t>NYNÄSHAMN</t>
        </is>
      </c>
      <c r="H99" t="inlineStr">
        <is>
          <t>Kommuner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45086</v>
      </c>
      <c r="E100" s="1" t="n">
        <v>46308</v>
      </c>
      <c r="F100" t="inlineStr">
        <is>
          <t>STOCKHOLMS LÄN</t>
        </is>
      </c>
      <c r="G100" t="inlineStr">
        <is>
          <t>NYNÄSHAMN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63463-2023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46308</v>
      </c>
      <c r="F101" t="inlineStr">
        <is>
          <t>STOCKHOLMS LÄN</t>
        </is>
      </c>
      <c r="G101" t="inlineStr">
        <is>
          <t>NYNÄSHAMN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33667-2022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44789</v>
      </c>
      <c r="E102" s="1" t="n">
        <v>46308</v>
      </c>
      <c r="F102" t="inlineStr">
        <is>
          <t>STOCKHOLMS LÄN</t>
        </is>
      </c>
      <c r="G102" t="inlineStr">
        <is>
          <t>NYNÄSHAMN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46308</v>
      </c>
      <c r="F103" t="inlineStr">
        <is>
          <t>STOCKHOLMS LÄN</t>
        </is>
      </c>
      <c r="G103" t="inlineStr">
        <is>
          <t>NYNÄSHAMN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45272</v>
      </c>
      <c r="E104" s="1" t="n">
        <v>46308</v>
      </c>
      <c r="F104" t="inlineStr">
        <is>
          <t>STOCKHOLMS LÄN</t>
        </is>
      </c>
      <c r="G104" t="inlineStr">
        <is>
          <t>NYNÄSHAMN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55871-2023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45239</v>
      </c>
      <c r="E105" s="1" t="n">
        <v>46308</v>
      </c>
      <c r="F105" t="inlineStr">
        <is>
          <t>STOCKHOLMS LÄN</t>
        </is>
      </c>
      <c r="G105" t="inlineStr">
        <is>
          <t>NYNÄSHAMN</t>
        </is>
      </c>
      <c r="H105" t="inlineStr">
        <is>
          <t>Kommuner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46308</v>
      </c>
      <c r="F106" t="inlineStr">
        <is>
          <t>STOCKHOLMS LÄN</t>
        </is>
      </c>
      <c r="G106" t="inlineStr">
        <is>
          <t>NYNÄSHAMN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46308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46308</v>
      </c>
      <c r="F108" t="inlineStr">
        <is>
          <t>STOCKHOLMS LÄN</t>
        </is>
      </c>
      <c r="G108" t="inlineStr">
        <is>
          <t>NYNÄSHAMN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46308</v>
      </c>
      <c r="F109" t="inlineStr">
        <is>
          <t>STOCKHOLMS LÄN</t>
        </is>
      </c>
      <c r="G109" t="inlineStr">
        <is>
          <t>NYNÄSHAMN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46308</v>
      </c>
      <c r="F110" t="inlineStr">
        <is>
          <t>STOCKHOLMS LÄN</t>
        </is>
      </c>
      <c r="G110" t="inlineStr">
        <is>
          <t>NYNÄSHAMN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46308</v>
      </c>
      <c r="F111" t="inlineStr">
        <is>
          <t>STOCKHOLMS LÄN</t>
        </is>
      </c>
      <c r="G111" t="inlineStr">
        <is>
          <t>NYNÄSHAMN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41767-2024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45561</v>
      </c>
      <c r="E112" s="1" t="n">
        <v>46308</v>
      </c>
      <c r="F112" t="inlineStr">
        <is>
          <t>STOCKHOLMS LÄN</t>
        </is>
      </c>
      <c r="G112" t="inlineStr">
        <is>
          <t>NYNÄSHAMN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64494-2023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46308</v>
      </c>
      <c r="F113" t="inlineStr">
        <is>
          <t>STOCKHOLMS LÄN</t>
        </is>
      </c>
      <c r="G113" t="inlineStr">
        <is>
          <t>NYNÄSHAMN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46308</v>
      </c>
      <c r="F114" t="inlineStr">
        <is>
          <t>STOCKHOLMS LÄN</t>
        </is>
      </c>
      <c r="G114" t="inlineStr">
        <is>
          <t>NYNÄSHAMN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46308</v>
      </c>
      <c r="F115" t="inlineStr">
        <is>
          <t>STOCKHOLMS LÄN</t>
        </is>
      </c>
      <c r="G115" t="inlineStr">
        <is>
          <t>NYNÄSHAMN</t>
        </is>
      </c>
      <c r="H115" t="inlineStr">
        <is>
          <t>Kyrkan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46308</v>
      </c>
      <c r="F116" t="inlineStr">
        <is>
          <t>STOCKHOLMS LÄN</t>
        </is>
      </c>
      <c r="G116" t="inlineStr">
        <is>
          <t>NYNÄSHAMN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45028</v>
      </c>
      <c r="E117" s="1" t="n">
        <v>46308</v>
      </c>
      <c r="F117" t="inlineStr">
        <is>
          <t>STOCKHOLMS LÄN</t>
        </is>
      </c>
      <c r="G117" t="inlineStr">
        <is>
          <t>NYNÄSHAMN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44979</v>
      </c>
      <c r="E118" s="1" t="n">
        <v>46308</v>
      </c>
      <c r="F118" t="inlineStr">
        <is>
          <t>STOCKHOLMS LÄN</t>
        </is>
      </c>
      <c r="G118" t="inlineStr">
        <is>
          <t>NYNÄSHAMN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46308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46308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46308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2026-10-13T01:57:49Z</dcterms:created>
  <dcterms:modified xmlns:dcterms="http://purl.org/dc/terms/" xmlns:xsi="http://www.w3.org/2001/XMLSchema-instance" xsi:type="dcterms:W3CDTF">2026-10-13T01:57:49Z</dcterms:modified>
</cp:coreProperties>
</file>