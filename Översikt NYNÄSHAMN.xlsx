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45968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45968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45968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45968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45968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45968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45968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45968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45968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45968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45968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45968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45968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45968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45968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45968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45968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45968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5567-2023</t>
        </is>
      </c>
      <c r="B20" s="1" t="n">
        <v>44960</v>
      </c>
      <c r="C20" s="1" t="n">
        <v>45968</v>
      </c>
      <c r="D20" t="inlineStr">
        <is>
          <t>STOCKHOLMS LÄN</t>
        </is>
      </c>
      <c r="E20" t="inlineStr">
        <is>
          <t>NYNÄSHAMN</t>
        </is>
      </c>
      <c r="G20" t="n">
        <v>10.1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Sårläka
Blåsippa</t>
        </is>
      </c>
      <c r="S20">
        <f>HYPERLINK("https://klasma.github.io/Logging_0192/artfynd/A 5567-2023 artfynd.xlsx", "A 5567-2023")</f>
        <v/>
      </c>
      <c r="T20">
        <f>HYPERLINK("https://klasma.github.io/Logging_0192/kartor/A 5567-2023 karta.png", "A 5567-2023")</f>
        <v/>
      </c>
      <c r="V20">
        <f>HYPERLINK("https://klasma.github.io/Logging_0192/klagomål/A 5567-2023 FSC-klagomål.docx", "A 5567-2023")</f>
        <v/>
      </c>
      <c r="W20">
        <f>HYPERLINK("https://klasma.github.io/Logging_0192/klagomålsmail/A 5567-2023 FSC-klagomål mail.docx", "A 5567-2023")</f>
        <v/>
      </c>
      <c r="X20">
        <f>HYPERLINK("https://klasma.github.io/Logging_0192/tillsyn/A 5567-2023 tillsynsbegäran.docx", "A 5567-2023")</f>
        <v/>
      </c>
      <c r="Y20">
        <f>HYPERLINK("https://klasma.github.io/Logging_0192/tillsynsmail/A 5567-2023 tillsynsbegäran mail.docx", "A 5567-2023")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45968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45968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45968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45968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45968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45968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45968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45968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45968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33528-2023</t>
        </is>
      </c>
      <c r="B30" s="1" t="n">
        <v>45131</v>
      </c>
      <c r="C30" s="1" t="n">
        <v>45968</v>
      </c>
      <c r="D30" t="inlineStr">
        <is>
          <t>STOCKHOLMS LÄN</t>
        </is>
      </c>
      <c r="E30" t="inlineStr">
        <is>
          <t>NYNÄSHAMN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HYPERLINK("https://klasma.github.io/Logging_0192/artfynd/A 33528-2023 artfynd.xlsx", "A 33528-2023")</f>
        <v/>
      </c>
      <c r="T30">
        <f>HYPERLINK("https://klasma.github.io/Logging_0192/kartor/A 33528-2023 karta.png", "A 33528-2023")</f>
        <v/>
      </c>
      <c r="V30">
        <f>HYPERLINK("https://klasma.github.io/Logging_0192/klagomål/A 33528-2023 FSC-klagomål.docx", "A 33528-2023")</f>
        <v/>
      </c>
      <c r="W30">
        <f>HYPERLINK("https://klasma.github.io/Logging_0192/klagomålsmail/A 33528-2023 FSC-klagomål mail.docx", "A 33528-2023")</f>
        <v/>
      </c>
      <c r="X30">
        <f>HYPERLINK("https://klasma.github.io/Logging_0192/tillsyn/A 33528-2023 tillsynsbegäran.docx", "A 33528-2023")</f>
        <v/>
      </c>
      <c r="Y30">
        <f>HYPERLINK("https://klasma.github.io/Logging_0192/tillsynsmail/A 33528-2023 tillsynsbegäran mail.docx", "A 33528-2023")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45968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45968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45968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37422-2021</t>
        </is>
      </c>
      <c r="B34" s="1" t="n">
        <v>44398</v>
      </c>
      <c r="C34" s="1" t="n">
        <v>45968</v>
      </c>
      <c r="D34" t="inlineStr">
        <is>
          <t>STOCKHOLMS LÄN</t>
        </is>
      </c>
      <c r="E34" t="inlineStr">
        <is>
          <t>NYNÄSHAMN</t>
        </is>
      </c>
      <c r="G34" t="n">
        <v>25.8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45968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45968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26757-2021</t>
        </is>
      </c>
      <c r="B37" s="1" t="n">
        <v>44349</v>
      </c>
      <c r="C37" s="1" t="n">
        <v>45968</v>
      </c>
      <c r="D37" t="inlineStr">
        <is>
          <t>STOCKHOLMS LÄN</t>
        </is>
      </c>
      <c r="E37" t="inlineStr">
        <is>
          <t>NYNÄSHAMN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45968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45968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45968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45968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45968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45968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45968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45968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25334-2021</t>
        </is>
      </c>
      <c r="B46" s="1" t="n">
        <v>44342</v>
      </c>
      <c r="C46" s="1" t="n">
        <v>45968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45968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40143-2021</t>
        </is>
      </c>
      <c r="B48" s="1" t="n">
        <v>44418</v>
      </c>
      <c r="C48" s="1" t="n">
        <v>45968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48309-2022</t>
        </is>
      </c>
      <c r="B49" s="1" t="n">
        <v>44854</v>
      </c>
      <c r="C49" s="1" t="n">
        <v>45968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40183-2021</t>
        </is>
      </c>
      <c r="B50" s="1" t="n">
        <v>44418</v>
      </c>
      <c r="C50" s="1" t="n">
        <v>45968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7683-2021</t>
        </is>
      </c>
      <c r="B51" s="1" t="n">
        <v>44242</v>
      </c>
      <c r="C51" s="1" t="n">
        <v>45968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73963-2021</t>
        </is>
      </c>
      <c r="B52" s="1" t="n">
        <v>44553.79121527778</v>
      </c>
      <c r="C52" s="1" t="n">
        <v>45968</v>
      </c>
      <c r="D52" t="inlineStr">
        <is>
          <t>STOCKHOLMS LÄN</t>
        </is>
      </c>
      <c r="E52" t="inlineStr">
        <is>
          <t>NYNÄSHAMN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73966-2021</t>
        </is>
      </c>
      <c r="B53" s="1" t="n">
        <v>44553.81094907408</v>
      </c>
      <c r="C53" s="1" t="n">
        <v>45968</v>
      </c>
      <c r="D53" t="inlineStr">
        <is>
          <t>STOCKHOLMS LÄN</t>
        </is>
      </c>
      <c r="E53" t="inlineStr">
        <is>
          <t>NYNÄSHAMN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73967-2021</t>
        </is>
      </c>
      <c r="B54" s="1" t="n">
        <v>44553.81719907407</v>
      </c>
      <c r="C54" s="1" t="n">
        <v>45968</v>
      </c>
      <c r="D54" t="inlineStr">
        <is>
          <t>STOCKHOLMS LÄN</t>
        </is>
      </c>
      <c r="E54" t="inlineStr">
        <is>
          <t>NYNÄSHAMN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10525-2021</t>
        </is>
      </c>
      <c r="B55" s="1" t="n">
        <v>44258</v>
      </c>
      <c r="C55" s="1" t="n">
        <v>45968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49657-2021</t>
        </is>
      </c>
      <c r="B56" s="1" t="n">
        <v>44455.45670138889</v>
      </c>
      <c r="C56" s="1" t="n">
        <v>45968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26750-2021</t>
        </is>
      </c>
      <c r="B57" s="1" t="n">
        <v>44349</v>
      </c>
      <c r="C57" s="1" t="n">
        <v>45968</v>
      </c>
      <c r="D57" t="inlineStr">
        <is>
          <t>STOCKHOLMS LÄN</t>
        </is>
      </c>
      <c r="E57" t="inlineStr">
        <is>
          <t>NYNÄSHAMN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52911-2024</t>
        </is>
      </c>
      <c r="B58" s="1" t="n">
        <v>45610.70392361111</v>
      </c>
      <c r="C58" s="1" t="n">
        <v>45968</v>
      </c>
      <c r="D58" t="inlineStr">
        <is>
          <t>STOCKHOLMS LÄN</t>
        </is>
      </c>
      <c r="E58" t="inlineStr">
        <is>
          <t>NYNÄSHAMN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2751-2021</t>
        </is>
      </c>
      <c r="B59" s="1" t="n">
        <v>44215</v>
      </c>
      <c r="C59" s="1" t="n">
        <v>45968</v>
      </c>
      <c r="D59" t="inlineStr">
        <is>
          <t>STOCKHOLMS LÄN</t>
        </is>
      </c>
      <c r="E59" t="inlineStr">
        <is>
          <t>NYNÄSHAMN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70850-2021</t>
        </is>
      </c>
      <c r="B60" s="1" t="n">
        <v>44538</v>
      </c>
      <c r="C60" s="1" t="n">
        <v>45968</v>
      </c>
      <c r="D60" t="inlineStr">
        <is>
          <t>STOCKHOLMS LÄN</t>
        </is>
      </c>
      <c r="E60" t="inlineStr">
        <is>
          <t>NYNÄSHAMN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37491-2022</t>
        </is>
      </c>
      <c r="B61" s="1" t="n">
        <v>44809</v>
      </c>
      <c r="C61" s="1" t="n">
        <v>45968</v>
      </c>
      <c r="D61" t="inlineStr">
        <is>
          <t>STOCKHOLMS LÄN</t>
        </is>
      </c>
      <c r="E61" t="inlineStr">
        <is>
          <t>NYNÄSHAMN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41378-2021</t>
        </is>
      </c>
      <c r="B62" s="1" t="n">
        <v>44424</v>
      </c>
      <c r="C62" s="1" t="n">
        <v>45968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62634-2022</t>
        </is>
      </c>
      <c r="B63" s="1" t="n">
        <v>44917</v>
      </c>
      <c r="C63" s="1" t="n">
        <v>45968</v>
      </c>
      <c r="D63" t="inlineStr">
        <is>
          <t>STOCKHOLMS LÄN</t>
        </is>
      </c>
      <c r="E63" t="inlineStr">
        <is>
          <t>NYNÄSHAMN</t>
        </is>
      </c>
      <c r="G63" t="n">
        <v>15.8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37103-2021</t>
        </is>
      </c>
      <c r="B64" s="1" t="n">
        <v>44396</v>
      </c>
      <c r="C64" s="1" t="n">
        <v>45968</v>
      </c>
      <c r="D64" t="inlineStr">
        <is>
          <t>STOCKHOLMS LÄN</t>
        </is>
      </c>
      <c r="E64" t="inlineStr">
        <is>
          <t>NYNÄSHAMN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37104-2021</t>
        </is>
      </c>
      <c r="B65" s="1" t="n">
        <v>44396</v>
      </c>
      <c r="C65" s="1" t="n">
        <v>45968</v>
      </c>
      <c r="D65" t="inlineStr">
        <is>
          <t>STOCKHOLMS LÄN</t>
        </is>
      </c>
      <c r="E65" t="inlineStr">
        <is>
          <t>NYNÄSHAMN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31808-2023</t>
        </is>
      </c>
      <c r="B66" s="1" t="n">
        <v>45118.47105324074</v>
      </c>
      <c r="C66" s="1" t="n">
        <v>45968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55871-2023</t>
        </is>
      </c>
      <c r="B67" s="1" t="n">
        <v>45239.73435185185</v>
      </c>
      <c r="C67" s="1" t="n">
        <v>45968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26505-2024</t>
        </is>
      </c>
      <c r="B68" s="1" t="n">
        <v>45469</v>
      </c>
      <c r="C68" s="1" t="n">
        <v>45968</v>
      </c>
      <c r="D68" t="inlineStr">
        <is>
          <t>STOCKHOLMS LÄN</t>
        </is>
      </c>
      <c r="E68" t="inlineStr">
        <is>
          <t>NYNÄSHAMN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41281-2021</t>
        </is>
      </c>
      <c r="B69" s="1" t="n">
        <v>44424</v>
      </c>
      <c r="C69" s="1" t="n">
        <v>45968</v>
      </c>
      <c r="D69" t="inlineStr">
        <is>
          <t>STOCKHOLMS LÄN</t>
        </is>
      </c>
      <c r="E69" t="inlineStr">
        <is>
          <t>NYNÄSHAMN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26501-2024</t>
        </is>
      </c>
      <c r="B70" s="1" t="n">
        <v>45469</v>
      </c>
      <c r="C70" s="1" t="n">
        <v>45968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37098-2021</t>
        </is>
      </c>
      <c r="B71" s="1" t="n">
        <v>44396</v>
      </c>
      <c r="C71" s="1" t="n">
        <v>45968</v>
      </c>
      <c r="D71" t="inlineStr">
        <is>
          <t>STOCKHOLMS LÄN</t>
        </is>
      </c>
      <c r="E71" t="inlineStr">
        <is>
          <t>NYNÄSHAMN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52859-2024</t>
        </is>
      </c>
      <c r="B72" s="1" t="n">
        <v>45610.61542824074</v>
      </c>
      <c r="C72" s="1" t="n">
        <v>45968</v>
      </c>
      <c r="D72" t="inlineStr">
        <is>
          <t>STOCKHOLMS LÄN</t>
        </is>
      </c>
      <c r="E72" t="inlineStr">
        <is>
          <t>NYNÄSHAMN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15465-2025</t>
        </is>
      </c>
      <c r="B73" s="1" t="n">
        <v>45747.51586805555</v>
      </c>
      <c r="C73" s="1" t="n">
        <v>45968</v>
      </c>
      <c r="D73" t="inlineStr">
        <is>
          <t>STOCKHOLMS LÄN</t>
        </is>
      </c>
      <c r="E73" t="inlineStr">
        <is>
          <t>NYNÄSHAMN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9020-2023</t>
        </is>
      </c>
      <c r="B74" s="1" t="n">
        <v>44979</v>
      </c>
      <c r="C74" s="1" t="n">
        <v>45968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34385-2023</t>
        </is>
      </c>
      <c r="B75" s="1" t="n">
        <v>45139</v>
      </c>
      <c r="C75" s="1" t="n">
        <v>45968</v>
      </c>
      <c r="D75" t="inlineStr">
        <is>
          <t>STOCKHOLMS LÄN</t>
        </is>
      </c>
      <c r="E75" t="inlineStr">
        <is>
          <t>NYNÄSHAMN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24288-2024</t>
        </is>
      </c>
      <c r="B76" s="1" t="n">
        <v>45457.4562037037</v>
      </c>
      <c r="C76" s="1" t="n">
        <v>45968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32092-2023</t>
        </is>
      </c>
      <c r="B77" s="1" t="n">
        <v>45119</v>
      </c>
      <c r="C77" s="1" t="n">
        <v>45968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12.4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34660-2023</t>
        </is>
      </c>
      <c r="B78" s="1" t="n">
        <v>45140</v>
      </c>
      <c r="C78" s="1" t="n">
        <v>45968</v>
      </c>
      <c r="D78" t="inlineStr">
        <is>
          <t>STOCKHOLMS LÄN</t>
        </is>
      </c>
      <c r="E78" t="inlineStr">
        <is>
          <t>NYNÄSHAMN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29811-2025</t>
        </is>
      </c>
      <c r="B79" s="1" t="n">
        <v>45825</v>
      </c>
      <c r="C79" s="1" t="n">
        <v>45968</v>
      </c>
      <c r="D79" t="inlineStr">
        <is>
          <t>STOCKHOLMS LÄN</t>
        </is>
      </c>
      <c r="E79" t="inlineStr">
        <is>
          <t>NYNÄSHAMN</t>
        </is>
      </c>
      <c r="F79" t="inlineStr">
        <is>
          <t>Övriga statliga verk och myndigheter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44624-2023</t>
        </is>
      </c>
      <c r="B80" s="1" t="n">
        <v>45184</v>
      </c>
      <c r="C80" s="1" t="n">
        <v>45968</v>
      </c>
      <c r="D80" t="inlineStr">
        <is>
          <t>STOCKHOLMS LÄN</t>
        </is>
      </c>
      <c r="E80" t="inlineStr">
        <is>
          <t>NYNÄSHAMN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30910-2023</t>
        </is>
      </c>
      <c r="B81" s="1" t="n">
        <v>45113</v>
      </c>
      <c r="C81" s="1" t="n">
        <v>45968</v>
      </c>
      <c r="D81" t="inlineStr">
        <is>
          <t>STOCKHOLMS LÄN</t>
        </is>
      </c>
      <c r="E81" t="inlineStr">
        <is>
          <t>NYNÄSHAMN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15839-2025</t>
        </is>
      </c>
      <c r="B82" s="1" t="n">
        <v>45748.868125</v>
      </c>
      <c r="C82" s="1" t="n">
        <v>45968</v>
      </c>
      <c r="D82" t="inlineStr">
        <is>
          <t>STOCKHOLMS LÄN</t>
        </is>
      </c>
      <c r="E82" t="inlineStr">
        <is>
          <t>NYNÄSHAMN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63931-2021</t>
        </is>
      </c>
      <c r="B83" s="1" t="n">
        <v>44509</v>
      </c>
      <c r="C83" s="1" t="n">
        <v>45968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26190-2022</t>
        </is>
      </c>
      <c r="B84" s="1" t="n">
        <v>44735</v>
      </c>
      <c r="C84" s="1" t="n">
        <v>45968</v>
      </c>
      <c r="D84" t="inlineStr">
        <is>
          <t>STOCKHOLMS LÄN</t>
        </is>
      </c>
      <c r="E84" t="inlineStr">
        <is>
          <t>NYNÄSHAMN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62013-2023</t>
        </is>
      </c>
      <c r="B85" s="1" t="n">
        <v>45266</v>
      </c>
      <c r="C85" s="1" t="n">
        <v>45968</v>
      </c>
      <c r="D85" t="inlineStr">
        <is>
          <t>STOCKHOLMS LÄN</t>
        </is>
      </c>
      <c r="E85" t="inlineStr">
        <is>
          <t>NYNÄSHAMN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62038-2023</t>
        </is>
      </c>
      <c r="B86" s="1" t="n">
        <v>45266</v>
      </c>
      <c r="C86" s="1" t="n">
        <v>45968</v>
      </c>
      <c r="D86" t="inlineStr">
        <is>
          <t>STOCKHOLMS LÄN</t>
        </is>
      </c>
      <c r="E86" t="inlineStr">
        <is>
          <t>NYNÄSHAMN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41767-2024</t>
        </is>
      </c>
      <c r="B87" s="1" t="n">
        <v>45561.34616898148</v>
      </c>
      <c r="C87" s="1" t="n">
        <v>45968</v>
      </c>
      <c r="D87" t="inlineStr">
        <is>
          <t>STOCKHOLMS LÄN</t>
        </is>
      </c>
      <c r="E87" t="inlineStr">
        <is>
          <t>NYNÄSHAMN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47128-2023</t>
        </is>
      </c>
      <c r="B88" s="1" t="n">
        <v>45196</v>
      </c>
      <c r="C88" s="1" t="n">
        <v>45968</v>
      </c>
      <c r="D88" t="inlineStr">
        <is>
          <t>STOCKHOLMS LÄN</t>
        </is>
      </c>
      <c r="E88" t="inlineStr">
        <is>
          <t>NYNÄSHAMN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52953-2024</t>
        </is>
      </c>
      <c r="B89" s="1" t="n">
        <v>45610.92077546296</v>
      </c>
      <c r="C89" s="1" t="n">
        <v>45968</v>
      </c>
      <c r="D89" t="inlineStr">
        <is>
          <t>STOCKHOLMS LÄN</t>
        </is>
      </c>
      <c r="E89" t="inlineStr">
        <is>
          <t>NYNÄSHAMN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13945-2025</t>
        </is>
      </c>
      <c r="B90" s="1" t="n">
        <v>45737.71512731481</v>
      </c>
      <c r="C90" s="1" t="n">
        <v>45968</v>
      </c>
      <c r="D90" t="inlineStr">
        <is>
          <t>STOCKHOLMS LÄN</t>
        </is>
      </c>
      <c r="E90" t="inlineStr">
        <is>
          <t>NYNÄSHAMN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32074-2023</t>
        </is>
      </c>
      <c r="B91" s="1" t="n">
        <v>45119</v>
      </c>
      <c r="C91" s="1" t="n">
        <v>45968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13.1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64494-2023</t>
        </is>
      </c>
      <c r="B92" s="1" t="n">
        <v>45280.93269675926</v>
      </c>
      <c r="C92" s="1" t="n">
        <v>45968</v>
      </c>
      <c r="D92" t="inlineStr">
        <is>
          <t>STOCKHOLMS LÄN</t>
        </is>
      </c>
      <c r="E92" t="inlineStr">
        <is>
          <t>NYNÄSHAMN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27748-2023</t>
        </is>
      </c>
      <c r="B93" s="1" t="n">
        <v>45098</v>
      </c>
      <c r="C93" s="1" t="n">
        <v>45968</v>
      </c>
      <c r="D93" t="inlineStr">
        <is>
          <t>STOCKHOLMS LÄN</t>
        </is>
      </c>
      <c r="E93" t="inlineStr">
        <is>
          <t>NYNÄSHAMN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47089-2023</t>
        </is>
      </c>
      <c r="B94" s="1" t="n">
        <v>45196</v>
      </c>
      <c r="C94" s="1" t="n">
        <v>45968</v>
      </c>
      <c r="D94" t="inlineStr">
        <is>
          <t>STOCKHOLMS LÄN</t>
        </is>
      </c>
      <c r="E94" t="inlineStr">
        <is>
          <t>NYNÄSHAMN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47093-2023</t>
        </is>
      </c>
      <c r="B95" s="1" t="n">
        <v>45196</v>
      </c>
      <c r="C95" s="1" t="n">
        <v>45968</v>
      </c>
      <c r="D95" t="inlineStr">
        <is>
          <t>STOCKHOLMS LÄN</t>
        </is>
      </c>
      <c r="E95" t="inlineStr">
        <is>
          <t>NYNÄSHAMN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8939-2023</t>
        </is>
      </c>
      <c r="B96" s="1" t="n">
        <v>44979</v>
      </c>
      <c r="C96" s="1" t="n">
        <v>45968</v>
      </c>
      <c r="D96" t="inlineStr">
        <is>
          <t>STOCKHOLMS LÄN</t>
        </is>
      </c>
      <c r="E96" t="inlineStr">
        <is>
          <t>NYNÄSHAMN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35483-2025</t>
        </is>
      </c>
      <c r="B97" s="1" t="n">
        <v>45855</v>
      </c>
      <c r="C97" s="1" t="n">
        <v>45968</v>
      </c>
      <c r="D97" t="inlineStr">
        <is>
          <t>STOCKHOLMS LÄN</t>
        </is>
      </c>
      <c r="E97" t="inlineStr">
        <is>
          <t>NYNÄSHAMN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9017-2023</t>
        </is>
      </c>
      <c r="B98" s="1" t="n">
        <v>44979</v>
      </c>
      <c r="C98" s="1" t="n">
        <v>45968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48978-2023</t>
        </is>
      </c>
      <c r="B99" s="1" t="n">
        <v>45209</v>
      </c>
      <c r="C99" s="1" t="n">
        <v>45968</v>
      </c>
      <c r="D99" t="inlineStr">
        <is>
          <t>STOCKHOLMS LÄN</t>
        </is>
      </c>
      <c r="E99" t="inlineStr">
        <is>
          <t>NYNÄSHAMN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36082-2025</t>
        </is>
      </c>
      <c r="B100" s="1" t="n">
        <v>45866.45336805555</v>
      </c>
      <c r="C100" s="1" t="n">
        <v>45968</v>
      </c>
      <c r="D100" t="inlineStr">
        <is>
          <t>STOCKHOLMS LÄN</t>
        </is>
      </c>
      <c r="E100" t="inlineStr">
        <is>
          <t>NYNÄSHAMN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60977-2022</t>
        </is>
      </c>
      <c r="B101" s="1" t="n">
        <v>44908</v>
      </c>
      <c r="C101" s="1" t="n">
        <v>45968</v>
      </c>
      <c r="D101" t="inlineStr">
        <is>
          <t>STOCKHOLMS LÄN</t>
        </is>
      </c>
      <c r="E101" t="inlineStr">
        <is>
          <t>NYNÄSHAMN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36509-2025</t>
        </is>
      </c>
      <c r="B102" s="1" t="n">
        <v>45869.57434027778</v>
      </c>
      <c r="C102" s="1" t="n">
        <v>45968</v>
      </c>
      <c r="D102" t="inlineStr">
        <is>
          <t>STOCKHOLMS LÄN</t>
        </is>
      </c>
      <c r="E102" t="inlineStr">
        <is>
          <t>NYNÄSHAMN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36496-2025</t>
        </is>
      </c>
      <c r="B103" s="1" t="n">
        <v>45869.55287037037</v>
      </c>
      <c r="C103" s="1" t="n">
        <v>45968</v>
      </c>
      <c r="D103" t="inlineStr">
        <is>
          <t>STOCKHOLMS LÄN</t>
        </is>
      </c>
      <c r="E103" t="inlineStr">
        <is>
          <t>NYNÄSHAMN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36468-2025</t>
        </is>
      </c>
      <c r="B104" s="1" t="n">
        <v>45869.47163194444</v>
      </c>
      <c r="C104" s="1" t="n">
        <v>45968</v>
      </c>
      <c r="D104" t="inlineStr">
        <is>
          <t>STOCKHOLMS LÄN</t>
        </is>
      </c>
      <c r="E104" t="inlineStr">
        <is>
          <t>NYNÄSHAMN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17991-2024</t>
        </is>
      </c>
      <c r="B105" s="1" t="n">
        <v>45419</v>
      </c>
      <c r="C105" s="1" t="n">
        <v>45968</v>
      </c>
      <c r="D105" t="inlineStr">
        <is>
          <t>STOCKHOLMS LÄN</t>
        </is>
      </c>
      <c r="E105" t="inlineStr">
        <is>
          <t>NYNÄSHAMN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36052-2023</t>
        </is>
      </c>
      <c r="B106" s="1" t="n">
        <v>45149</v>
      </c>
      <c r="C106" s="1" t="n">
        <v>45968</v>
      </c>
      <c r="D106" t="inlineStr">
        <is>
          <t>STOCKHOLMS LÄN</t>
        </is>
      </c>
      <c r="E106" t="inlineStr">
        <is>
          <t>NYNÄSHAMN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15176-2024</t>
        </is>
      </c>
      <c r="B107" s="1" t="n">
        <v>45400</v>
      </c>
      <c r="C107" s="1" t="n">
        <v>45968</v>
      </c>
      <c r="D107" t="inlineStr">
        <is>
          <t>STOCKHOLMS LÄN</t>
        </is>
      </c>
      <c r="E107" t="inlineStr">
        <is>
          <t>NYNÄSHAMN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7457-2025</t>
        </is>
      </c>
      <c r="B108" s="1" t="n">
        <v>45705.43699074074</v>
      </c>
      <c r="C108" s="1" t="n">
        <v>45968</v>
      </c>
      <c r="D108" t="inlineStr">
        <is>
          <t>STOCKHOLMS LÄN</t>
        </is>
      </c>
      <c r="E108" t="inlineStr">
        <is>
          <t>NYNÄSHAMN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16793-2023</t>
        </is>
      </c>
      <c r="B109" s="1" t="n">
        <v>45028</v>
      </c>
      <c r="C109" s="1" t="n">
        <v>45968</v>
      </c>
      <c r="D109" t="inlineStr">
        <is>
          <t>STOCKHOLMS LÄN</t>
        </is>
      </c>
      <c r="E109" t="inlineStr">
        <is>
          <t>NYNÄSHAMN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7180-2024</t>
        </is>
      </c>
      <c r="B110" s="1" t="n">
        <v>45344</v>
      </c>
      <c r="C110" s="1" t="n">
        <v>45968</v>
      </c>
      <c r="D110" t="inlineStr">
        <is>
          <t>STOCKHOLMS LÄN</t>
        </is>
      </c>
      <c r="E110" t="inlineStr">
        <is>
          <t>NYNÄSHAMN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52950-2024</t>
        </is>
      </c>
      <c r="B111" s="1" t="n">
        <v>45610.89103009259</v>
      </c>
      <c r="C111" s="1" t="n">
        <v>45968</v>
      </c>
      <c r="D111" t="inlineStr">
        <is>
          <t>STOCKHOLMS LÄN</t>
        </is>
      </c>
      <c r="E111" t="inlineStr">
        <is>
          <t>NYNÄSHAMN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8932-2023</t>
        </is>
      </c>
      <c r="B112" s="1" t="n">
        <v>44979</v>
      </c>
      <c r="C112" s="1" t="n">
        <v>45968</v>
      </c>
      <c r="D112" t="inlineStr">
        <is>
          <t>STOCKHOLMS LÄN</t>
        </is>
      </c>
      <c r="E112" t="inlineStr">
        <is>
          <t>NYNÄSHAMN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10224-2023</t>
        </is>
      </c>
      <c r="B113" s="1" t="n">
        <v>44986.61554398148</v>
      </c>
      <c r="C113" s="1" t="n">
        <v>45968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6775-2022</t>
        </is>
      </c>
      <c r="B114" s="1" t="n">
        <v>44602.52413194445</v>
      </c>
      <c r="C114" s="1" t="n">
        <v>45968</v>
      </c>
      <c r="D114" t="inlineStr">
        <is>
          <t>STOCKHOLMS LÄN</t>
        </is>
      </c>
      <c r="E114" t="inlineStr">
        <is>
          <t>NYNÄSHAMN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8932-2023</t>
        </is>
      </c>
      <c r="B115" s="1" t="n">
        <v>44979</v>
      </c>
      <c r="C115" s="1" t="n">
        <v>45968</v>
      </c>
      <c r="D115" t="inlineStr">
        <is>
          <t>STOCKHOLMS LÄN</t>
        </is>
      </c>
      <c r="E115" t="inlineStr">
        <is>
          <t>NYNÄSHAMN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17634-2022</t>
        </is>
      </c>
      <c r="B116" s="1" t="n">
        <v>44680</v>
      </c>
      <c r="C116" s="1" t="n">
        <v>45968</v>
      </c>
      <c r="D116" t="inlineStr">
        <is>
          <t>STOCKHOLMS LÄN</t>
        </is>
      </c>
      <c r="E116" t="inlineStr">
        <is>
          <t>NYNÄSHAMN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1658-2022</t>
        </is>
      </c>
      <c r="B117" s="1" t="n">
        <v>44574</v>
      </c>
      <c r="C117" s="1" t="n">
        <v>45968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17990-2024</t>
        </is>
      </c>
      <c r="B118" s="1" t="n">
        <v>45419</v>
      </c>
      <c r="C118" s="1" t="n">
        <v>45968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2367-2023</t>
        </is>
      </c>
      <c r="B119" s="1" t="n">
        <v>44942.67042824074</v>
      </c>
      <c r="C119" s="1" t="n">
        <v>45968</v>
      </c>
      <c r="D119" t="inlineStr">
        <is>
          <t>STOCKHOLMS LÄN</t>
        </is>
      </c>
      <c r="E119" t="inlineStr">
        <is>
          <t>NYNÄSHAMN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46856-2025</t>
        </is>
      </c>
      <c r="B120" s="1" t="n">
        <v>45928.88810185185</v>
      </c>
      <c r="C120" s="1" t="n">
        <v>45968</v>
      </c>
      <c r="D120" t="inlineStr">
        <is>
          <t>STOCKHOLMS LÄN</t>
        </is>
      </c>
      <c r="E120" t="inlineStr">
        <is>
          <t>NYNÄSHAMN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46857-2025</t>
        </is>
      </c>
      <c r="B121" s="1" t="n">
        <v>45928.89146990741</v>
      </c>
      <c r="C121" s="1" t="n">
        <v>45968</v>
      </c>
      <c r="D121" t="inlineStr">
        <is>
          <t>STOCKHOLMS LÄN</t>
        </is>
      </c>
      <c r="E121" t="inlineStr">
        <is>
          <t>NYNÄSHAMN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33787-2024</t>
        </is>
      </c>
      <c r="B122" s="1" t="n">
        <v>45520</v>
      </c>
      <c r="C122" s="1" t="n">
        <v>45968</v>
      </c>
      <c r="D122" t="inlineStr">
        <is>
          <t>STOCKHOLMS LÄN</t>
        </is>
      </c>
      <c r="E122" t="inlineStr">
        <is>
          <t>NYNÄSHAMN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46818-2025</t>
        </is>
      </c>
      <c r="B123" s="1" t="n">
        <v>45926.71837962963</v>
      </c>
      <c r="C123" s="1" t="n">
        <v>45968</v>
      </c>
      <c r="D123" t="inlineStr">
        <is>
          <t>STOCKHOLMS LÄN</t>
        </is>
      </c>
      <c r="E123" t="inlineStr">
        <is>
          <t>NYNÄSHAMN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64411-2023</t>
        </is>
      </c>
      <c r="B124" s="1" t="n">
        <v>45280.63304398148</v>
      </c>
      <c r="C124" s="1" t="n">
        <v>45968</v>
      </c>
      <c r="D124" t="inlineStr">
        <is>
          <t>STOCKHOLMS LÄN</t>
        </is>
      </c>
      <c r="E124" t="inlineStr">
        <is>
          <t>NYNÄSHAMN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47463-2025</t>
        </is>
      </c>
      <c r="B125" s="1" t="n">
        <v>45930.66210648148</v>
      </c>
      <c r="C125" s="1" t="n">
        <v>45968</v>
      </c>
      <c r="D125" t="inlineStr">
        <is>
          <t>STOCKHOLMS LÄN</t>
        </is>
      </c>
      <c r="E125" t="inlineStr">
        <is>
          <t>NYNÄSHAMN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3341-2025</t>
        </is>
      </c>
      <c r="B126" s="1" t="n">
        <v>45679</v>
      </c>
      <c r="C126" s="1" t="n">
        <v>45968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44619-2023</t>
        </is>
      </c>
      <c r="B127" s="1" t="n">
        <v>45189</v>
      </c>
      <c r="C127" s="1" t="n">
        <v>45968</v>
      </c>
      <c r="D127" t="inlineStr">
        <is>
          <t>STOCKHOLMS LÄN</t>
        </is>
      </c>
      <c r="E127" t="inlineStr">
        <is>
          <t>NYNÄSHAMN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636-2025</t>
        </is>
      </c>
      <c r="B128" s="1" t="n">
        <v>45664.63822916667</v>
      </c>
      <c r="C128" s="1" t="n">
        <v>45968</v>
      </c>
      <c r="D128" t="inlineStr">
        <is>
          <t>STOCKHOLMS LÄN</t>
        </is>
      </c>
      <c r="E128" t="inlineStr">
        <is>
          <t>NYNÄSHAMN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41677-2023</t>
        </is>
      </c>
      <c r="B129" s="1" t="n">
        <v>45173</v>
      </c>
      <c r="C129" s="1" t="n">
        <v>45968</v>
      </c>
      <c r="D129" t="inlineStr">
        <is>
          <t>STOCKHOLMS LÄN</t>
        </is>
      </c>
      <c r="E129" t="inlineStr">
        <is>
          <t>NYNÄSHAMN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41680-2023</t>
        </is>
      </c>
      <c r="B130" s="1" t="n">
        <v>45173</v>
      </c>
      <c r="C130" s="1" t="n">
        <v>45968</v>
      </c>
      <c r="D130" t="inlineStr">
        <is>
          <t>STOCKHOLMS LÄN</t>
        </is>
      </c>
      <c r="E130" t="inlineStr">
        <is>
          <t>NYNÄSHAMN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52910-2024</t>
        </is>
      </c>
      <c r="B131" s="1" t="n">
        <v>45610.69866898148</v>
      </c>
      <c r="C131" s="1" t="n">
        <v>45968</v>
      </c>
      <c r="D131" t="inlineStr">
        <is>
          <t>STOCKHOLMS LÄN</t>
        </is>
      </c>
      <c r="E131" t="inlineStr">
        <is>
          <t>NYNÄSHAMN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48456-2025</t>
        </is>
      </c>
      <c r="B132" s="1" t="n">
        <v>45935.85752314814</v>
      </c>
      <c r="C132" s="1" t="n">
        <v>45968</v>
      </c>
      <c r="D132" t="inlineStr">
        <is>
          <t>STOCKHOLMS LÄN</t>
        </is>
      </c>
      <c r="E132" t="inlineStr">
        <is>
          <t>NYNÄSHAMN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38771-2021</t>
        </is>
      </c>
      <c r="B133" s="1" t="n">
        <v>44410</v>
      </c>
      <c r="C133" s="1" t="n">
        <v>45968</v>
      </c>
      <c r="D133" t="inlineStr">
        <is>
          <t>STOCKHOLMS LÄN</t>
        </is>
      </c>
      <c r="E133" t="inlineStr">
        <is>
          <t>NYNÄSHAMN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35356-2023</t>
        </is>
      </c>
      <c r="B134" s="1" t="n">
        <v>45146.51179398148</v>
      </c>
      <c r="C134" s="1" t="n">
        <v>45968</v>
      </c>
      <c r="D134" t="inlineStr">
        <is>
          <t>STOCKHOLMS LÄN</t>
        </is>
      </c>
      <c r="E134" t="inlineStr">
        <is>
          <t>NYNÄSHAMN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18411-2025</t>
        </is>
      </c>
      <c r="B135" s="1" t="n">
        <v>45762.61413194444</v>
      </c>
      <c r="C135" s="1" t="n">
        <v>45968</v>
      </c>
      <c r="D135" t="inlineStr">
        <is>
          <t>STOCKHOLMS LÄN</t>
        </is>
      </c>
      <c r="E135" t="inlineStr">
        <is>
          <t>NYNÄSHAMN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37097-2021</t>
        </is>
      </c>
      <c r="B136" s="1" t="n">
        <v>44395</v>
      </c>
      <c r="C136" s="1" t="n">
        <v>45968</v>
      </c>
      <c r="D136" t="inlineStr">
        <is>
          <t>STOCKHOLMS LÄN</t>
        </is>
      </c>
      <c r="E136" t="inlineStr">
        <is>
          <t>NYNÄSHAMN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47258-2024</t>
        </is>
      </c>
      <c r="B137" s="1" t="n">
        <v>45586.76025462963</v>
      </c>
      <c r="C137" s="1" t="n">
        <v>45968</v>
      </c>
      <c r="D137" t="inlineStr">
        <is>
          <t>STOCKHOLMS LÄN</t>
        </is>
      </c>
      <c r="E137" t="inlineStr">
        <is>
          <t>NYNÄSHAMN</t>
        </is>
      </c>
      <c r="F137" t="inlineStr">
        <is>
          <t>Kyrkan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13947-2025</t>
        </is>
      </c>
      <c r="B138" s="1" t="n">
        <v>45737</v>
      </c>
      <c r="C138" s="1" t="n">
        <v>45968</v>
      </c>
      <c r="D138" t="inlineStr">
        <is>
          <t>STOCKHOLMS LÄN</t>
        </is>
      </c>
      <c r="E138" t="inlineStr">
        <is>
          <t>NYNÄSHAMN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23397-2025</t>
        </is>
      </c>
      <c r="B139" s="1" t="n">
        <v>45791.90849537037</v>
      </c>
      <c r="C139" s="1" t="n">
        <v>45968</v>
      </c>
      <c r="D139" t="inlineStr">
        <is>
          <t>STOCKHOLMS LÄN</t>
        </is>
      </c>
      <c r="E139" t="inlineStr">
        <is>
          <t>NYNÄSHAMN</t>
        </is>
      </c>
      <c r="G139" t="n">
        <v>12.7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45968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21202-2025</t>
        </is>
      </c>
      <c r="B141" s="1" t="n">
        <v>45779.47872685185</v>
      </c>
      <c r="C141" s="1" t="n">
        <v>45968</v>
      </c>
      <c r="D141" t="inlineStr">
        <is>
          <t>STOCKHOLMS LÄN</t>
        </is>
      </c>
      <c r="E141" t="inlineStr">
        <is>
          <t>NYNÄSHAMN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57375-2024</t>
        </is>
      </c>
      <c r="B142" s="1" t="n">
        <v>45629.67396990741</v>
      </c>
      <c r="C142" s="1" t="n">
        <v>45968</v>
      </c>
      <c r="D142" t="inlineStr">
        <is>
          <t>STOCKHOLMS LÄN</t>
        </is>
      </c>
      <c r="E142" t="inlineStr">
        <is>
          <t>NYNÄSHAMN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50956-2025</t>
        </is>
      </c>
      <c r="B143" s="1" t="n">
        <v>45946.78206018519</v>
      </c>
      <c r="C143" s="1" t="n">
        <v>45968</v>
      </c>
      <c r="D143" t="inlineStr">
        <is>
          <t>STOCKHOLMS LÄN</t>
        </is>
      </c>
      <c r="E143" t="inlineStr">
        <is>
          <t>NYNÄSHAMN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34818-2021</t>
        </is>
      </c>
      <c r="B144" s="1" t="n">
        <v>44383.35518518519</v>
      </c>
      <c r="C144" s="1" t="n">
        <v>45968</v>
      </c>
      <c r="D144" t="inlineStr">
        <is>
          <t>STOCKHOLMS LÄN</t>
        </is>
      </c>
      <c r="E144" t="inlineStr">
        <is>
          <t>NYNÄSHAMN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40895-2024</t>
        </is>
      </c>
      <c r="B145" s="1" t="n">
        <v>45558.61607638889</v>
      </c>
      <c r="C145" s="1" t="n">
        <v>45968</v>
      </c>
      <c r="D145" t="inlineStr">
        <is>
          <t>STOCKHOLMS LÄN</t>
        </is>
      </c>
      <c r="E145" t="inlineStr">
        <is>
          <t>NYNÄSHAMN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22730-2025</t>
        </is>
      </c>
      <c r="B146" s="1" t="n">
        <v>45789.57819444445</v>
      </c>
      <c r="C146" s="1" t="n">
        <v>45968</v>
      </c>
      <c r="D146" t="inlineStr">
        <is>
          <t>STOCKHOLMS LÄN</t>
        </is>
      </c>
      <c r="E146" t="inlineStr">
        <is>
          <t>NYNÄSHAMN</t>
        </is>
      </c>
      <c r="F146" t="inlineStr">
        <is>
          <t>Kommuner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2170-2023</t>
        </is>
      </c>
      <c r="B147" s="1" t="n">
        <v>44941</v>
      </c>
      <c r="C147" s="1" t="n">
        <v>45968</v>
      </c>
      <c r="D147" t="inlineStr">
        <is>
          <t>STOCKHOLMS LÄN</t>
        </is>
      </c>
      <c r="E147" t="inlineStr">
        <is>
          <t>NYNÄSHAMN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21192-2023</t>
        </is>
      </c>
      <c r="B148" s="1" t="n">
        <v>45062</v>
      </c>
      <c r="C148" s="1" t="n">
        <v>45968</v>
      </c>
      <c r="D148" t="inlineStr">
        <is>
          <t>STOCKHOLMS LÄN</t>
        </is>
      </c>
      <c r="E148" t="inlineStr">
        <is>
          <t>NYNÄSHAMN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9062-2023</t>
        </is>
      </c>
      <c r="B149" s="1" t="n">
        <v>44979.72369212963</v>
      </c>
      <c r="C149" s="1" t="n">
        <v>45968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22721-2025</t>
        </is>
      </c>
      <c r="B150" s="1" t="n">
        <v>45789.57309027778</v>
      </c>
      <c r="C150" s="1" t="n">
        <v>45968</v>
      </c>
      <c r="D150" t="inlineStr">
        <is>
          <t>STOCKHOLMS LÄN</t>
        </is>
      </c>
      <c r="E150" t="inlineStr">
        <is>
          <t>NYNÄSHAMN</t>
        </is>
      </c>
      <c r="F150" t="inlineStr">
        <is>
          <t>Kommuner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22740-2025</t>
        </is>
      </c>
      <c r="B151" s="1" t="n">
        <v>45789.59407407408</v>
      </c>
      <c r="C151" s="1" t="n">
        <v>45968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25175-2023</t>
        </is>
      </c>
      <c r="B152" s="1" t="n">
        <v>45086</v>
      </c>
      <c r="C152" s="1" t="n">
        <v>45968</v>
      </c>
      <c r="D152" t="inlineStr">
        <is>
          <t>STOCKHOLMS LÄN</t>
        </is>
      </c>
      <c r="E152" t="inlineStr">
        <is>
          <t>NYNÄSHAMN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44206-2024</t>
        </is>
      </c>
      <c r="B153" s="1" t="n">
        <v>45573</v>
      </c>
      <c r="C153" s="1" t="n">
        <v>45968</v>
      </c>
      <c r="D153" t="inlineStr">
        <is>
          <t>STOCKHOLMS LÄN</t>
        </is>
      </c>
      <c r="E153" t="inlineStr">
        <is>
          <t>NYNÄSHAMN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51954-2025</t>
        </is>
      </c>
      <c r="B154" s="1" t="n">
        <v>45952</v>
      </c>
      <c r="C154" s="1" t="n">
        <v>45968</v>
      </c>
      <c r="D154" t="inlineStr">
        <is>
          <t>STOCKHOLMS LÄN</t>
        </is>
      </c>
      <c r="E154" t="inlineStr">
        <is>
          <t>NYNÄSHAMN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32011-2023</t>
        </is>
      </c>
      <c r="B155" s="1" t="n">
        <v>45119</v>
      </c>
      <c r="C155" s="1" t="n">
        <v>45968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63463-2023</t>
        </is>
      </c>
      <c r="B156" s="1" t="n">
        <v>45274</v>
      </c>
      <c r="C156" s="1" t="n">
        <v>45968</v>
      </c>
      <c r="D156" t="inlineStr">
        <is>
          <t>STOCKHOLMS LÄN</t>
        </is>
      </c>
      <c r="E156" t="inlineStr">
        <is>
          <t>NYNÄSHAMN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15460-2025</t>
        </is>
      </c>
      <c r="B157" s="1" t="n">
        <v>45747.51049768519</v>
      </c>
      <c r="C157" s="1" t="n">
        <v>45968</v>
      </c>
      <c r="D157" t="inlineStr">
        <is>
          <t>STOCKHOLMS LÄN</t>
        </is>
      </c>
      <c r="E157" t="inlineStr">
        <is>
          <t>NYNÄSHAMN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33667-2022</t>
        </is>
      </c>
      <c r="B158" s="1" t="n">
        <v>44789</v>
      </c>
      <c r="C158" s="1" t="n">
        <v>45968</v>
      </c>
      <c r="D158" t="inlineStr">
        <is>
          <t>STOCKHOLMS LÄN</t>
        </is>
      </c>
      <c r="E158" t="inlineStr">
        <is>
          <t>NYNÄSHAMN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62878-2023</t>
        </is>
      </c>
      <c r="B159" s="1" t="n">
        <v>45272</v>
      </c>
      <c r="C159" s="1" t="n">
        <v>45968</v>
      </c>
      <c r="D159" t="inlineStr">
        <is>
          <t>STOCKHOLMS LÄN</t>
        </is>
      </c>
      <c r="E159" t="inlineStr">
        <is>
          <t>NYNÄSHAMN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2025-11-07T10:12:24Z</dcterms:created>
  <dcterms:modified xmlns:dcterms="http://purl.org/dc/terms/" xmlns:xsi="http://www.w3.org/2001/XMLSchema-instance" xsi:type="dcterms:W3CDTF">2025-11-07T10:12:24Z</dcterms:modified>
</cp:coreProperties>
</file>