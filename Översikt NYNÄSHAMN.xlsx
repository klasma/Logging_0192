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46252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46252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27135-2026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46188</v>
      </c>
      <c r="E7" s="1" t="n">
        <v>46252</v>
      </c>
      <c r="F7" t="inlineStr">
        <is>
          <t>STOCKHOLMS LÄN</t>
        </is>
      </c>
      <c r="G7" t="inlineStr">
        <is>
          <t>NYNÄSHAMN</t>
        </is>
      </c>
      <c r="I7" t="n">
        <v>7.3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16</v>
      </c>
      <c r="U7" t="n">
        <v>0</v>
      </c>
      <c r="V7" s="2" t="inlineStr">
        <is>
          <t>Skogskorn
Jungfrulin
Ängsskära
Myskmadra
Skogsknipprot
Strävlosta
Blåsippa</t>
        </is>
      </c>
      <c r="W7">
        <f>HYPERLINK("https://klasma.github.io/Logging_0192/artfynd/A 27135-2026 artfynd.xlsx", "A 27135-2026")</f>
        <v/>
      </c>
      <c r="X7">
        <f>HYPERLINK("https://klasma.github.io/Logging_0192/kartor/A 27135-2026 karta.png", "A 27135-2026")</f>
        <v/>
      </c>
      <c r="Y7">
        <f>HYPERLINK("https://klasma.github.io/Logging_0192/kartor_geotiff/A 27135-2026 georefererad karta.tif", "A 27135-2026")</f>
        <v/>
      </c>
      <c r="AA7">
        <f>HYPERLINK("https://klasma.github.io/Logging_0192/klagomål/A 27135-2026 FSC-klagomål.docx", "A 27135-2026")</f>
        <v/>
      </c>
      <c r="AB7">
        <f>HYPERLINK("https://klasma.github.io/Logging_0192/klagomålsmail/A 27135-2026 FSC-klagomål mail.docx", "A 27135-2026")</f>
        <v/>
      </c>
      <c r="AC7">
        <f>HYPERLINK("https://klasma.github.io/Logging_0192/tillsyn/A 27135-2026 tillsynsbegäran.docx", "A 27135-2026")</f>
        <v/>
      </c>
      <c r="AD7">
        <f>HYPERLINK("https://klasma.github.io/Logging_0192/tillsynsmail/A 27135-2026 tillsynsbegäran mail.docx", "A 27135-2026")</f>
        <v/>
      </c>
    </row>
    <row r="8" ht="15" customHeight="1">
      <c r="A8" t="inlineStr">
        <is>
          <t>A 18378-2026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46125</v>
      </c>
      <c r="E8" s="1" t="n">
        <v>46252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65</v>
      </c>
      <c r="U8" t="n">
        <v>0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18378-2026 artfynd.xlsx", "A 18378-2026")</f>
        <v/>
      </c>
      <c r="X8">
        <f>HYPERLINK("https://klasma.github.io/Logging_0192/kartor/A 18378-2026 karta.png", "A 18378-2026")</f>
        <v/>
      </c>
      <c r="Y8">
        <f>HYPERLINK("https://klasma.github.io/Logging_0192/kartor_geotiff/A 18378-2026 georefererad karta.tif", "A 18378-2026")</f>
        <v/>
      </c>
      <c r="AA8">
        <f>HYPERLINK("https://klasma.github.io/Logging_0192/klagomål/A 18378-2026 FSC-klagomål.docx", "A 18378-2026")</f>
        <v/>
      </c>
      <c r="AB8">
        <f>HYPERLINK("https://klasma.github.io/Logging_0192/klagomålsmail/A 18378-2026 FSC-klagomål mail.docx", "A 18378-2026")</f>
        <v/>
      </c>
      <c r="AC8">
        <f>HYPERLINK("https://klasma.github.io/Logging_0192/tillsyn/A 18378-2026 tillsynsbegäran.docx", "A 18378-2026")</f>
        <v/>
      </c>
      <c r="AD8">
        <f>HYPERLINK("https://klasma.github.io/Logging_0192/tillsynsmail/A 18378-2026 tillsynsbegäran mail.docx", "A 18378-2026")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46252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46252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46252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33528-2023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45131</v>
      </c>
      <c r="E18" s="1" t="n">
        <v>46252</v>
      </c>
      <c r="F18" t="inlineStr">
        <is>
          <t>STOCKHOLMS LÄN</t>
        </is>
      </c>
      <c r="G18" t="inlineStr">
        <is>
          <t>NYNÄSHAMN</t>
        </is>
      </c>
      <c r="I18" t="n">
        <v>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Strutbräken</t>
        </is>
      </c>
      <c r="W18">
        <f>HYPERLINK("https://klasma.github.io/Logging_0192/artfynd/A 33528-2023 artfynd.xlsx", "A 33528-2023")</f>
        <v/>
      </c>
      <c r="X18">
        <f>HYPERLINK("https://klasma.github.io/Logging_0192/kartor/A 33528-2023 karta.png", "A 33528-2023")</f>
        <v/>
      </c>
      <c r="Y18">
        <f>HYPERLINK("https://klasma.github.io/Logging_0192/kartor_geotiff/A 33528-2023 georefererad karta.tif", "A 33528-2023")</f>
        <v/>
      </c>
      <c r="AA18">
        <f>HYPERLINK("https://klasma.github.io/Logging_0192/klagomål/A 33528-2023 FSC-klagomål.docx", "A 33528-2023")</f>
        <v/>
      </c>
      <c r="AB18">
        <f>HYPERLINK("https://klasma.github.io/Logging_0192/klagomålsmail/A 33528-2023 FSC-klagomål mail.docx", "A 33528-2023")</f>
        <v/>
      </c>
      <c r="AC18">
        <f>HYPERLINK("https://klasma.github.io/Logging_0192/tillsyn/A 33528-2023 tillsynsbegäran.docx", "A 33528-2023")</f>
        <v/>
      </c>
      <c r="AD18">
        <f>HYPERLINK("https://klasma.github.io/Logging_0192/tillsynsmail/A 33528-2023 tillsynsbegäran mail.docx", "A 33528-2023")</f>
        <v/>
      </c>
    </row>
    <row r="19" ht="15" customHeight="1">
      <c r="A19" t="inlineStr">
        <is>
          <t>A 49523-2023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46252</v>
      </c>
      <c r="F19" t="inlineStr">
        <is>
          <t>STOCKHOLMS LÄN</t>
        </is>
      </c>
      <c r="G19" t="inlineStr">
        <is>
          <t>NYNÄSHAMN</t>
        </is>
      </c>
      <c r="I19" t="n">
        <v>2.2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Grönpyrola
Västlig hakmossa</t>
        </is>
      </c>
      <c r="W19">
        <f>HYPERLINK("https://klasma.github.io/Logging_0192/artfynd/A 49523-2023 artfynd.xlsx", "A 49523-2023")</f>
        <v/>
      </c>
      <c r="X19">
        <f>HYPERLINK("https://klasma.github.io/Logging_0192/kartor/A 49523-2023 karta.png", "A 49523-2023")</f>
        <v/>
      </c>
      <c r="Y19">
        <f>HYPERLINK("https://klasma.github.io/Logging_0192/kartor_geotiff/A 49523-2023 georefererad karta.tif", "A 49523-2023")</f>
        <v/>
      </c>
      <c r="AA19">
        <f>HYPERLINK("https://klasma.github.io/Logging_0192/klagomål/A 49523-2023 FSC-klagomål.docx", "A 49523-2023")</f>
        <v/>
      </c>
      <c r="AB19">
        <f>HYPERLINK("https://klasma.github.io/Logging_0192/klagomålsmail/A 49523-2023 FSC-klagomål mail.docx", "A 49523-2023")</f>
        <v/>
      </c>
      <c r="AC19">
        <f>HYPERLINK("https://klasma.github.io/Logging_0192/tillsyn/A 49523-2023 tillsynsbegäran.docx", "A 49523-2023")</f>
        <v/>
      </c>
      <c r="AD19">
        <f>HYPERLINK("https://klasma.github.io/Logging_0192/tillsynsmail/A 49523-2023 tillsynsbegäran mail.docx", "A 49523-2023")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46252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Sårläka
Blåsippa</t>
        </is>
      </c>
      <c r="W20">
        <f>HYPERLINK("https://klasma.github.io/Logging_0192/artfynd/A 5567-2023 artfynd.xlsx", "A 5567-2023")</f>
        <v/>
      </c>
      <c r="X20">
        <f>HYPERLINK("https://klasma.github.io/Logging_0192/kartor/A 5567-2023 karta.png", "A 5567-2023")</f>
        <v/>
      </c>
      <c r="Y20">
        <f>HYPERLINK("https://klasma.github.io/Logging_0192/kartor_geotiff/A 5567-2023 georefererad karta.tif", "A 5567-2023")</f>
        <v/>
      </c>
      <c r="AA20">
        <f>HYPERLINK("https://klasma.github.io/Logging_0192/klagomål/A 5567-2023 FSC-klagomål.docx", "A 5567-2023")</f>
        <v/>
      </c>
      <c r="AB20">
        <f>HYPERLINK("https://klasma.github.io/Logging_0192/klagomålsmail/A 5567-2023 FSC-klagomål mail.docx", "A 5567-2023")</f>
        <v/>
      </c>
      <c r="AC20">
        <f>HYPERLINK("https://klasma.github.io/Logging_0192/tillsyn/A 5567-2023 tillsynsbegäran.docx", "A 5567-2023")</f>
        <v/>
      </c>
      <c r="AD20">
        <f>HYPERLINK("https://klasma.github.io/Logging_0192/tillsynsmail/A 5567-2023 tillsynsbegäran mail.docx", "A 5567-2023")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46252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46252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10059-2022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46252</v>
      </c>
      <c r="F23" t="inlineStr">
        <is>
          <t>STOCKHOLMS LÄN</t>
        </is>
      </c>
      <c r="G23" t="inlineStr">
        <is>
          <t>NYNÄSHAMN</t>
        </is>
      </c>
      <c r="I23" t="n">
        <v>17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Bolmört
Bollvitmossa</t>
        </is>
      </c>
      <c r="W23">
        <f>HYPERLINK("https://klasma.github.io/Logging_0192/artfynd/A 10059-2022 artfynd.xlsx", "A 10059-2022")</f>
        <v/>
      </c>
      <c r="X23">
        <f>HYPERLINK("https://klasma.github.io/Logging_0192/kartor/A 10059-2022 karta.png", "A 10059-2022")</f>
        <v/>
      </c>
      <c r="Y23">
        <f>HYPERLINK("https://klasma.github.io/Logging_0192/kartor_geotiff/A 10059-2022 georefererad karta.tif", "A 10059-2022")</f>
        <v/>
      </c>
      <c r="AA23">
        <f>HYPERLINK("https://klasma.github.io/Logging_0192/klagomål/A 10059-2022 FSC-klagomål.docx", "A 10059-2022")</f>
        <v/>
      </c>
      <c r="AB23">
        <f>HYPERLINK("https://klasma.github.io/Logging_0192/klagomålsmail/A 10059-2022 FSC-klagomål mail.docx", "A 10059-2022")</f>
        <v/>
      </c>
      <c r="AC23">
        <f>HYPERLINK("https://klasma.github.io/Logging_0192/tillsyn/A 10059-2022 tillsynsbegäran.docx", "A 10059-2022")</f>
        <v/>
      </c>
      <c r="AD23">
        <f>HYPERLINK("https://klasma.github.io/Logging_0192/tillsynsmail/A 10059-2022 tillsynsbegäran mail.docx", "A 10059-2022")</f>
        <v/>
      </c>
    </row>
    <row r="24" ht="15" customHeight="1">
      <c r="A24" t="inlineStr">
        <is>
          <t>A 47093-2023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46252</v>
      </c>
      <c r="F24" t="inlineStr">
        <is>
          <t>STOCKHOLMS LÄN</t>
        </is>
      </c>
      <c r="G24" t="inlineStr">
        <is>
          <t>NYNÄSHAMN</t>
        </is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Hasselticka
Myskmadra</t>
        </is>
      </c>
      <c r="W24">
        <f>HYPERLINK("https://klasma.github.io/Logging_0192/artfynd/A 47093-2023 artfynd.xlsx", "A 47093-2023")</f>
        <v/>
      </c>
      <c r="X24">
        <f>HYPERLINK("https://klasma.github.io/Logging_0192/kartor/A 47093-2023 karta.png", "A 47093-2023")</f>
        <v/>
      </c>
      <c r="Y24">
        <f>HYPERLINK("https://klasma.github.io/Logging_0192/kartor_geotiff/A 47093-2023 georefererad karta.tif", "A 47093-2023")</f>
        <v/>
      </c>
      <c r="AA24">
        <f>HYPERLINK("https://klasma.github.io/Logging_0192/klagomål/A 47093-2023 FSC-klagomål.docx", "A 47093-2023")</f>
        <v/>
      </c>
      <c r="AB24">
        <f>HYPERLINK("https://klasma.github.io/Logging_0192/klagomålsmail/A 47093-2023 FSC-klagomål mail.docx", "A 47093-2023")</f>
        <v/>
      </c>
      <c r="AC24">
        <f>HYPERLINK("https://klasma.github.io/Logging_0192/tillsyn/A 47093-2023 tillsynsbegäran.docx", "A 47093-2023")</f>
        <v/>
      </c>
      <c r="AD24">
        <f>HYPERLINK("https://klasma.github.io/Logging_0192/tillsynsmail/A 47093-2023 tillsynsbegäran mail.docx", "A 47093-2023")</f>
        <v/>
      </c>
    </row>
    <row r="25" ht="15" customHeight="1">
      <c r="A25" t="inlineStr">
        <is>
          <t>A 8939-2023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46252</v>
      </c>
      <c r="F25" t="inlineStr">
        <is>
          <t>STOCKHOLMS LÄN</t>
        </is>
      </c>
      <c r="G25" t="inlineStr">
        <is>
          <t>NYNÄSHAMN</t>
        </is>
      </c>
      <c r="I25" t="n">
        <v>2.7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8939-2023 artfynd.xlsx", "A 8939-2023")</f>
        <v/>
      </c>
      <c r="X25">
        <f>HYPERLINK("https://klasma.github.io/Logging_0192/kartor/A 8939-2023 karta.png", "A 8939-2023")</f>
        <v/>
      </c>
      <c r="Y25">
        <f>HYPERLINK("https://klasma.github.io/Logging_0192/kartor_geotiff/A 8939-2023 georefererad karta.tif", "A 8939-2023")</f>
        <v/>
      </c>
      <c r="AA25">
        <f>HYPERLINK("https://klasma.github.io/Logging_0192/klagomål/A 8939-2023 FSC-klagomål.docx", "A 8939-2023")</f>
        <v/>
      </c>
      <c r="AB25">
        <f>HYPERLINK("https://klasma.github.io/Logging_0192/klagomålsmail/A 8939-2023 FSC-klagomål mail.docx", "A 8939-2023")</f>
        <v/>
      </c>
      <c r="AC25">
        <f>HYPERLINK("https://klasma.github.io/Logging_0192/tillsyn/A 8939-2023 tillsynsbegäran.docx", "A 8939-2023")</f>
        <v/>
      </c>
      <c r="AD25">
        <f>HYPERLINK("https://klasma.github.io/Logging_0192/tillsynsmail/A 8939-2023 tillsynsbegäran mail.docx", "A 8939-2023")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46252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46252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40895-2024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46252</v>
      </c>
      <c r="F28" t="inlineStr">
        <is>
          <t>STOCKHOLMS LÄN</t>
        </is>
      </c>
      <c r="G28" t="inlineStr">
        <is>
          <t>NYNÄSHAMN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Stubbspretmossa</t>
        </is>
      </c>
      <c r="W28">
        <f>HYPERLINK("https://klasma.github.io/Logging_0192/artfynd/A 40895-2024 artfynd.xlsx", "A 40895-2024")</f>
        <v/>
      </c>
      <c r="X28">
        <f>HYPERLINK("https://klasma.github.io/Logging_0192/kartor/A 40895-2024 karta.png", "A 40895-2024")</f>
        <v/>
      </c>
      <c r="Y28">
        <f>HYPERLINK("https://klasma.github.io/Logging_0192/kartor_geotiff/A 40895-2024 georefererad karta.tif", "A 40895-2024")</f>
        <v/>
      </c>
      <c r="AA28">
        <f>HYPERLINK("https://klasma.github.io/Logging_0192/klagomål/A 40895-2024 FSC-klagomål.docx", "A 40895-2024")</f>
        <v/>
      </c>
      <c r="AB28">
        <f>HYPERLINK("https://klasma.github.io/Logging_0192/klagomålsmail/A 40895-2024 FSC-klagomål mail.docx", "A 40895-2024")</f>
        <v/>
      </c>
      <c r="AC28">
        <f>HYPERLINK("https://klasma.github.io/Logging_0192/tillsyn/A 40895-2024 tillsynsbegäran.docx", "A 40895-2024")</f>
        <v/>
      </c>
      <c r="AD28">
        <f>HYPERLINK("https://klasma.github.io/Logging_0192/tillsynsmail/A 40895-2024 tillsynsbegäran mail.docx", "A 40895-2024")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32011-2023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46252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Fiskgjuse</t>
        </is>
      </c>
      <c r="W30">
        <f>HYPERLINK("https://klasma.github.io/Logging_0192/artfynd/A 32011-2023 artfynd.xlsx", "A 32011-2023")</f>
        <v/>
      </c>
      <c r="X30">
        <f>HYPERLINK("https://klasma.github.io/Logging_0192/kartor/A 32011-2023 karta.png", "A 32011-2023")</f>
        <v/>
      </c>
      <c r="Y30">
        <f>HYPERLINK("https://klasma.github.io/Logging_0192/kartor_geotiff/A 32011-2023 georefererad karta.tif", "A 32011-2023")</f>
        <v/>
      </c>
      <c r="AA30">
        <f>HYPERLINK("https://klasma.github.io/Logging_0192/klagomål/A 32011-2023 FSC-klagomål.docx", "A 32011-2023")</f>
        <v/>
      </c>
      <c r="AB30">
        <f>HYPERLINK("https://klasma.github.io/Logging_0192/klagomålsmail/A 32011-2023 FSC-klagomål mail.docx", "A 32011-2023")</f>
        <v/>
      </c>
      <c r="AC30">
        <f>HYPERLINK("https://klasma.github.io/Logging_0192/tillsyn/A 32011-2023 tillsynsbegäran.docx", "A 32011-2023")</f>
        <v/>
      </c>
      <c r="AD30">
        <f>HYPERLINK("https://klasma.github.io/Logging_0192/tillsynsmail/A 32011-2023 tillsynsbegäran mail.docx", "A 32011-2023")</f>
        <v/>
      </c>
      <c r="AE30">
        <f>HYPERLINK("https://klasma.github.io/Logging_0192/fåglar/A 32011-2023 prioriterade fågelarter.docx", "A 32011-2023")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62634-2022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44917</v>
      </c>
      <c r="E32" s="1" t="n">
        <v>46252</v>
      </c>
      <c r="F32" t="inlineStr">
        <is>
          <t>STOCKHOLMS LÄN</t>
        </is>
      </c>
      <c r="G32" t="inlineStr">
        <is>
          <t>NYNÄSHAMN</t>
        </is>
      </c>
      <c r="I32" t="n">
        <v>15.8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HYPERLINK("https://klasma.github.io/Logging_0192/artfynd/A 62634-2022 artfynd.xlsx", "A 62634-2022")</f>
        <v/>
      </c>
      <c r="X32">
        <f>HYPERLINK("https://klasma.github.io/Logging_0192/kartor/A 62634-2022 karta.png", "A 62634-2022")</f>
        <v/>
      </c>
      <c r="Y32">
        <f>HYPERLINK("https://klasma.github.io/Logging_0192/kartor_geotiff/A 62634-2022 georefererad karta.tif", "A 62634-2022")</f>
        <v/>
      </c>
      <c r="AA32">
        <f>HYPERLINK("https://klasma.github.io/Logging_0192/klagomål/A 62634-2022 FSC-klagomål.docx", "A 62634-2022")</f>
        <v/>
      </c>
      <c r="AB32">
        <f>HYPERLINK("https://klasma.github.io/Logging_0192/klagomålsmail/A 62634-2022 FSC-klagomål mail.docx", "A 62634-2022")</f>
        <v/>
      </c>
      <c r="AC32">
        <f>HYPERLINK("https://klasma.github.io/Logging_0192/tillsyn/A 62634-2022 tillsynsbegäran.docx", "A 62634-2022")</f>
        <v/>
      </c>
      <c r="AD32">
        <f>HYPERLINK("https://klasma.github.io/Logging_0192/tillsynsmail/A 62634-2022 tillsynsbegäran mail.docx", "A 62634-2022")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46252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32074-2023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46252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13.1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Grå kantarell</t>
        </is>
      </c>
      <c r="W34">
        <f>HYPERLINK("https://klasma.github.io/Logging_0192/artfynd/A 32074-2023 artfynd.xlsx", "A 32074-2023")</f>
        <v/>
      </c>
      <c r="X34">
        <f>HYPERLINK("https://klasma.github.io/Logging_0192/kartor/A 32074-2023 karta.png", "A 32074-2023")</f>
        <v/>
      </c>
      <c r="Y34">
        <f>HYPERLINK("https://klasma.github.io/Logging_0192/kartor_geotiff/A 32074-2023 georefererad karta.tif", "A 32074-2023")</f>
        <v/>
      </c>
      <c r="AA34">
        <f>HYPERLINK("https://klasma.github.io/Logging_0192/klagomål/A 32074-2023 FSC-klagomål.docx", "A 32074-2023")</f>
        <v/>
      </c>
      <c r="AB34">
        <f>HYPERLINK("https://klasma.github.io/Logging_0192/klagomålsmail/A 32074-2023 FSC-klagomål mail.docx", "A 32074-2023")</f>
        <v/>
      </c>
      <c r="AC34">
        <f>HYPERLINK("https://klasma.github.io/Logging_0192/tillsyn/A 32074-2023 tillsynsbegäran.docx", "A 32074-2023")</f>
        <v/>
      </c>
      <c r="AD34">
        <f>HYPERLINK("https://klasma.github.io/Logging_0192/tillsynsmail/A 32074-2023 tillsynsbegäran mail.docx", "A 32074-2023")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46252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46252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46252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46252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8932-2023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46252</v>
      </c>
      <c r="F44" t="inlineStr">
        <is>
          <t>STOCKHOLMS LÄN</t>
        </is>
      </c>
      <c r="G44" t="inlineStr">
        <is>
          <t>NYNÄSHAMN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46252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46252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46252</v>
      </c>
      <c r="F47" t="inlineStr">
        <is>
          <t>STOCKHOLMS LÄN</t>
        </is>
      </c>
      <c r="G47" t="inlineStr">
        <is>
          <t>NYNÄSHAMN</t>
        </is>
      </c>
      <c r="H47" t="inlineStr">
        <is>
          <t>Övriga statliga verk och myndigheter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46252</v>
      </c>
      <c r="F48" t="inlineStr">
        <is>
          <t>STOCKHOLMS LÄN</t>
        </is>
      </c>
      <c r="G48" t="inlineStr">
        <is>
          <t>NYNÄSHAMN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6775-2022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46252</v>
      </c>
      <c r="F49" t="inlineStr">
        <is>
          <t>STOCKHOLMS LÄN</t>
        </is>
      </c>
      <c r="G49" t="inlineStr">
        <is>
          <t>NYNÄSHAMN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46252</v>
      </c>
      <c r="F50" t="inlineStr">
        <is>
          <t>STOCKHOLMS LÄN</t>
        </is>
      </c>
      <c r="G50" t="inlineStr">
        <is>
          <t>NYNÄSHAMN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64411-2023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46252</v>
      </c>
      <c r="F51" t="inlineStr">
        <is>
          <t>STOCKHOLMS LÄN</t>
        </is>
      </c>
      <c r="G51" t="inlineStr">
        <is>
          <t>NYNÄSHAMN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45747</v>
      </c>
      <c r="E52" s="1" t="n">
        <v>46252</v>
      </c>
      <c r="F52" t="inlineStr">
        <is>
          <t>STOCKHOLMS LÄN</t>
        </is>
      </c>
      <c r="G52" t="inlineStr">
        <is>
          <t>NYNÄSHAMN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46252</v>
      </c>
      <c r="F53" t="inlineStr">
        <is>
          <t>STOCKHOLMS LÄN</t>
        </is>
      </c>
      <c r="G53" t="inlineStr">
        <is>
          <t>NYNÄSHAMN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45457</v>
      </c>
      <c r="E54" s="1" t="n">
        <v>46252</v>
      </c>
      <c r="F54" t="inlineStr">
        <is>
          <t>STOCKHOLMS LÄN</t>
        </is>
      </c>
      <c r="G54" t="inlineStr">
        <is>
          <t>NYNÄSHAMN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46252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45173</v>
      </c>
      <c r="E56" s="1" t="n">
        <v>46252</v>
      </c>
      <c r="F56" t="inlineStr">
        <is>
          <t>STOCKHOLMS LÄN</t>
        </is>
      </c>
      <c r="G56" t="inlineStr">
        <is>
          <t>NYNÄSHAMN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41680-2023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46252</v>
      </c>
      <c r="F57" t="inlineStr">
        <is>
          <t>STOCKHOLMS LÄN</t>
        </is>
      </c>
      <c r="G57" t="inlineStr">
        <is>
          <t>NYNÄSHAMN</t>
        </is>
      </c>
      <c r="I57" t="n">
        <v>12.3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46252</v>
      </c>
      <c r="F58" t="inlineStr">
        <is>
          <t>STOCKHOLMS LÄN</t>
        </is>
      </c>
      <c r="G58" t="inlineStr">
        <is>
          <t>NYNÄSHAMN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46252</v>
      </c>
      <c r="F59" t="inlineStr">
        <is>
          <t>STOCKHOLMS LÄN</t>
        </is>
      </c>
      <c r="G59" t="inlineStr">
        <is>
          <t>NYNÄSHAMN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7180-2024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45344</v>
      </c>
      <c r="E60" s="1" t="n">
        <v>46252</v>
      </c>
      <c r="F60" t="inlineStr">
        <is>
          <t>STOCKHOLMS LÄN</t>
        </is>
      </c>
      <c r="G60" t="inlineStr">
        <is>
          <t>NYNÄSHAMN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46252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46252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46252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44942</v>
      </c>
      <c r="E64" s="1" t="n">
        <v>46252</v>
      </c>
      <c r="F64" t="inlineStr">
        <is>
          <t>STOCKHOLMS LÄN</t>
        </is>
      </c>
      <c r="G64" t="inlineStr">
        <is>
          <t>NYNÄSHAMN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46252</v>
      </c>
      <c r="F65" t="inlineStr">
        <is>
          <t>STOCKHOLMS LÄN</t>
        </is>
      </c>
      <c r="G65" t="inlineStr">
        <is>
          <t>NYNÄSHAMN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51954-2025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45952</v>
      </c>
      <c r="E66" s="1" t="n">
        <v>46252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46252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44941</v>
      </c>
      <c r="E68" s="1" t="n">
        <v>46252</v>
      </c>
      <c r="F68" t="inlineStr">
        <is>
          <t>STOCKHOLMS LÄN</t>
        </is>
      </c>
      <c r="G68" t="inlineStr">
        <is>
          <t>NYNÄSHAMN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45062</v>
      </c>
      <c r="E69" s="1" t="n">
        <v>46252</v>
      </c>
      <c r="F69" t="inlineStr">
        <is>
          <t>STOCKHOLMS LÄN</t>
        </is>
      </c>
      <c r="G69" t="inlineStr">
        <is>
          <t>NYNÄSHAMN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46252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45086</v>
      </c>
      <c r="E71" s="1" t="n">
        <v>46252</v>
      </c>
      <c r="F71" t="inlineStr">
        <is>
          <t>STOCKHOLMS LÄN</t>
        </is>
      </c>
      <c r="G71" t="inlineStr">
        <is>
          <t>NYNÄSHAMN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46252</v>
      </c>
      <c r="F72" t="inlineStr">
        <is>
          <t>STOCKHOLMS LÄN</t>
        </is>
      </c>
      <c r="G72" t="inlineStr">
        <is>
          <t>NYNÄSHAMN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46252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46252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46252</v>
      </c>
      <c r="F75" t="inlineStr">
        <is>
          <t>STOCKHOLMS LÄN</t>
        </is>
      </c>
      <c r="G75" t="inlineStr">
        <is>
          <t>NYNÄSHAMN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45274</v>
      </c>
      <c r="E76" s="1" t="n">
        <v>46252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46252</v>
      </c>
      <c r="F77" t="inlineStr">
        <is>
          <t>STOCKHOLMS LÄN</t>
        </is>
      </c>
      <c r="G77" t="inlineStr">
        <is>
          <t>NYNÄSHAMN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46252</v>
      </c>
      <c r="F78" t="inlineStr">
        <is>
          <t>STOCKHOLMS LÄN</t>
        </is>
      </c>
      <c r="G78" t="inlineStr">
        <is>
          <t>NYNÄSHAMN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46252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46252</v>
      </c>
      <c r="F80" t="inlineStr">
        <is>
          <t>STOCKHOLMS LÄN</t>
        </is>
      </c>
      <c r="G80" t="inlineStr">
        <is>
          <t>NYNÄSHAMN</t>
        </is>
      </c>
      <c r="H80" t="inlineStr">
        <is>
          <t>Kommuner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46252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44509</v>
      </c>
      <c r="E82" s="1" t="n">
        <v>46252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46252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46252</v>
      </c>
      <c r="F84" t="inlineStr">
        <is>
          <t>STOCKHOLMS LÄN</t>
        </is>
      </c>
      <c r="G84" t="inlineStr">
        <is>
          <t>NYNÄSHAMN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46252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46252</v>
      </c>
      <c r="F86" t="inlineStr">
        <is>
          <t>STOCKHOLMS LÄN</t>
        </is>
      </c>
      <c r="G86" t="inlineStr">
        <is>
          <t>NYNÄSHAMN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46252</v>
      </c>
      <c r="F87" t="inlineStr">
        <is>
          <t>STOCKHOLMS LÄN</t>
        </is>
      </c>
      <c r="G87" t="inlineStr">
        <is>
          <t>NYNÄSHAMN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44624-2023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46252</v>
      </c>
      <c r="F88" t="inlineStr">
        <is>
          <t>STOCKHOLMS LÄN</t>
        </is>
      </c>
      <c r="G88" t="inlineStr">
        <is>
          <t>NYNÄSHAMN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46252</v>
      </c>
      <c r="F89" t="inlineStr">
        <is>
          <t>STOCKHOLMS LÄN</t>
        </is>
      </c>
      <c r="G89" t="inlineStr">
        <is>
          <t>NYNÄSHAMN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46252</v>
      </c>
      <c r="F90" t="inlineStr">
        <is>
          <t>STOCKHOLMS LÄN</t>
        </is>
      </c>
      <c r="G90" t="inlineStr">
        <is>
          <t>NYNÄSHAMN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46252</v>
      </c>
      <c r="F91" t="inlineStr">
        <is>
          <t>STOCKHOLMS LÄN</t>
        </is>
      </c>
      <c r="G91" t="inlineStr">
        <is>
          <t>NYNÄSHAMN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46252</v>
      </c>
      <c r="F92" t="inlineStr">
        <is>
          <t>STOCKHOLMS LÄN</t>
        </is>
      </c>
      <c r="G92" t="inlineStr">
        <is>
          <t>NYNÄSHAMN</t>
        </is>
      </c>
      <c r="H92" t="inlineStr">
        <is>
          <t>Kyrkan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46252</v>
      </c>
      <c r="F93" t="inlineStr">
        <is>
          <t>STOCKHOLMS LÄN</t>
        </is>
      </c>
      <c r="G93" t="inlineStr">
        <is>
          <t>NYNÄSHAMN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45561</v>
      </c>
      <c r="E94" s="1" t="n">
        <v>46252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46252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46252</v>
      </c>
      <c r="F96" t="inlineStr">
        <is>
          <t>STOCKHOLMS LÄN</t>
        </is>
      </c>
      <c r="G96" t="inlineStr">
        <is>
          <t>NYNÄSHAMN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46252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46252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46252</v>
      </c>
      <c r="F99" t="inlineStr">
        <is>
          <t>STOCKHOLMS LÄN</t>
        </is>
      </c>
      <c r="G99" t="inlineStr">
        <is>
          <t>NYNÄSHAMN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46237</v>
      </c>
      <c r="E100" s="1" t="n">
        <v>46252</v>
      </c>
      <c r="F100" t="inlineStr">
        <is>
          <t>STOCKHOLMS LÄN</t>
        </is>
      </c>
      <c r="G100" t="inlineStr">
        <is>
          <t>NYNÄSHAMN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46252</v>
      </c>
      <c r="F101" t="inlineStr">
        <is>
          <t>STOCKHOLMS LÄN</t>
        </is>
      </c>
      <c r="G101" t="inlineStr">
        <is>
          <t>NYNÄSHAMN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46252</v>
      </c>
      <c r="F102" t="inlineStr">
        <is>
          <t>STOCKHOLMS LÄN</t>
        </is>
      </c>
      <c r="G102" t="inlineStr">
        <is>
          <t>NYNÄSHAMN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46252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44680</v>
      </c>
      <c r="E104" s="1" t="n">
        <v>46252</v>
      </c>
      <c r="F104" t="inlineStr">
        <is>
          <t>STOCKHOLMS LÄN</t>
        </is>
      </c>
      <c r="G104" t="inlineStr">
        <is>
          <t>NYNÄSHAMN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46252</v>
      </c>
      <c r="F105" t="inlineStr">
        <is>
          <t>STOCKHOLMS LÄN</t>
        </is>
      </c>
      <c r="G105" t="inlineStr">
        <is>
          <t>NYNÄSHAMN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46252</v>
      </c>
      <c r="F106" t="inlineStr">
        <is>
          <t>STOCKHOLMS LÄN</t>
        </is>
      </c>
      <c r="G106" t="inlineStr">
        <is>
          <t>NYNÄSHAMN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46252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46252</v>
      </c>
      <c r="F108" t="inlineStr">
        <is>
          <t>STOCKHOLMS LÄN</t>
        </is>
      </c>
      <c r="G108" t="inlineStr">
        <is>
          <t>NYNÄSHAMN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46252</v>
      </c>
      <c r="F109" t="inlineStr">
        <is>
          <t>STOCKHOLMS LÄN</t>
        </is>
      </c>
      <c r="G109" t="inlineStr">
        <is>
          <t>NYNÄSHAMN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60977-2022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44908</v>
      </c>
      <c r="E110" s="1" t="n">
        <v>46252</v>
      </c>
      <c r="F110" t="inlineStr">
        <is>
          <t>STOCKHOLMS LÄN</t>
        </is>
      </c>
      <c r="G110" t="inlineStr">
        <is>
          <t>NYNÄSHAMN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46252</v>
      </c>
      <c r="F111" t="inlineStr">
        <is>
          <t>STOCKHOLMS LÄN</t>
        </is>
      </c>
      <c r="G111" t="inlineStr">
        <is>
          <t>NYNÄSHAMN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46252</v>
      </c>
      <c r="F112" t="inlineStr">
        <is>
          <t>STOCKHOLMS LÄN</t>
        </is>
      </c>
      <c r="G112" t="inlineStr">
        <is>
          <t>NYNÄSHAMN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46252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46252</v>
      </c>
      <c r="F114" t="inlineStr">
        <is>
          <t>STOCKHOLMS LÄN</t>
        </is>
      </c>
      <c r="G114" t="inlineStr">
        <is>
          <t>NYNÄSHAMN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46085</v>
      </c>
      <c r="E115" s="1" t="n">
        <v>46252</v>
      </c>
      <c r="F115" t="inlineStr">
        <is>
          <t>STOCKHOLMS LÄN</t>
        </is>
      </c>
      <c r="G115" t="inlineStr">
        <is>
          <t>NYNÄSHAMN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46252</v>
      </c>
      <c r="F116" t="inlineStr">
        <is>
          <t>STOCKHOLMS LÄN</t>
        </is>
      </c>
      <c r="G116" t="inlineStr">
        <is>
          <t>NYNÄSHAMN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46252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46252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46252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46252</v>
      </c>
      <c r="F120" t="inlineStr">
        <is>
          <t>STOCKHOLMS LÄN</t>
        </is>
      </c>
      <c r="G120" t="inlineStr">
        <is>
          <t>NYNÄSHAMN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46252</v>
      </c>
      <c r="F121" t="inlineStr">
        <is>
          <t>STOCKHOLMS LÄN</t>
        </is>
      </c>
      <c r="G121" t="inlineStr">
        <is>
          <t>NYNÄSHAMN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46252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46252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46252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