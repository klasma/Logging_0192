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46228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46228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46228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46228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46228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46228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46228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34573-2025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45846</v>
      </c>
      <c r="E9" s="1" t="n">
        <v>46228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7.3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67</v>
      </c>
      <c r="U9" t="n">
        <v>1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34573-2025 artfynd.xlsx", "A 34573-2025")</f>
        <v/>
      </c>
      <c r="X9">
        <f>HYPERLINK("https://klasma.github.io/Logging_0192/kartor/A 34573-2025 karta.png", "A 34573-2025")</f>
        <v/>
      </c>
      <c r="Y9">
        <f>HYPERLINK("https://klasma.github.io/Logging_0192/kartor_geotiff/A 34573-2025 georefererad karta.tif", "A 34573-2025")</f>
        <v/>
      </c>
      <c r="AA9">
        <f>HYPERLINK("https://klasma.github.io/Logging_0192/klagomål/A 34573-2025 FSC-klagomål.docx", "A 34573-2025")</f>
        <v/>
      </c>
      <c r="AB9">
        <f>HYPERLINK("https://klasma.github.io/Logging_0192/klagomålsmail/A 34573-2025 FSC-klagomål mail.docx", "A 34573-2025")</f>
        <v/>
      </c>
      <c r="AC9">
        <f>HYPERLINK("https://klasma.github.io/Logging_0192/tillsyn/A 34573-2025 tillsynsbegäran.docx", "A 34573-2025")</f>
        <v/>
      </c>
      <c r="AD9">
        <f>HYPERLINK("https://klasma.github.io/Logging_0192/tillsynsmail/A 34573-2025 tillsynsbegäran mail.docx", "A 34573-2025")</f>
        <v/>
      </c>
    </row>
    <row r="10" ht="15" customHeight="1">
      <c r="A10" t="inlineStr">
        <is>
          <t>A 5233-2026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46049</v>
      </c>
      <c r="E10" s="1" t="n">
        <v>46228</v>
      </c>
      <c r="F10" t="inlineStr">
        <is>
          <t>STOCKHOLMS LÄN</t>
        </is>
      </c>
      <c r="G10" t="inlineStr">
        <is>
          <t>NYNÄSHAMN</t>
        </is>
      </c>
      <c r="I10" t="n">
        <v>9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Blåsippa
Spillkråka
Kråka
Skogsduva</t>
        </is>
      </c>
      <c r="W10">
        <f>HYPERLINK("https://klasma.github.io/Logging_0192/artfynd/A 5233-2026 artfynd.xlsx", "A 5233-2026")</f>
        <v/>
      </c>
      <c r="X10">
        <f>HYPERLINK("https://klasma.github.io/Logging_0192/kartor/A 5233-2026 karta.png", "A 5233-2026")</f>
        <v/>
      </c>
      <c r="Y10">
        <f>HYPERLINK("https://klasma.github.io/Logging_0192/kartor_geotiff/A 5233-2026 georefererad karta.tif", "A 5233-2026")</f>
        <v/>
      </c>
      <c r="AA10">
        <f>HYPERLINK("https://klasma.github.io/Logging_0192/klagomål/A 5233-2026 FSC-klagomål.docx", "A 5233-2026")</f>
        <v/>
      </c>
      <c r="AB10">
        <f>HYPERLINK("https://klasma.github.io/Logging_0192/klagomålsmail/A 5233-2026 FSC-klagomål mail.docx", "A 5233-2026")</f>
        <v/>
      </c>
      <c r="AC10">
        <f>HYPERLINK("https://klasma.github.io/Logging_0192/tillsyn/A 5233-2026 tillsynsbegäran.docx", "A 5233-2026")</f>
        <v/>
      </c>
      <c r="AD10">
        <f>HYPERLINK("https://klasma.github.io/Logging_0192/tillsynsmail/A 5233-2026 tillsynsbegäran mail.docx", "A 5233-2026")</f>
        <v/>
      </c>
      <c r="AE10">
        <f>HYPERLINK("https://klasma.github.io/Logging_0192/fåglar/A 5233-2026 prioriterade fågelarter.docx", "A 5233-2026")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46228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46228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t="n">
        <v>0</v>
      </c>
      <c r="V12" s="2" t="inlineStr">
        <is>
          <t>Skogskorn
Vårärt
Hässleklocka
Strävlosta</t>
        </is>
      </c>
      <c r="W12">
        <f>HYPERLINK("https://klasma.github.io/Logging_0192/artfynd/S 1862-2026 artfynd.xlsx", "S 1862-2026")</f>
        <v/>
      </c>
      <c r="X12">
        <f>HYPERLINK("https://klasma.github.io/Logging_0192/kartor/S 1862-2026 karta.png", "S 1862-2026")</f>
        <v/>
      </c>
      <c r="Y12">
        <f>HYPERLINK("https://klasma.github.io/Logging_0192/kartor_geotiff/S 1862-2026 georefererad karta.tif", "S 1862-2026")</f>
        <v/>
      </c>
      <c r="AA12">
        <f>HYPERLINK("https://klasma.github.io/Logging_0192/klagomål/S 1862-2026 FSC-klagomål.docx", "S 1862-2026")</f>
        <v/>
      </c>
      <c r="AB12">
        <f>HYPERLINK("https://klasma.github.io/Logging_0192/klagomålsmail/S 1862-2026 FSC-klagomål mail.docx", "S 1862-2026")</f>
        <v/>
      </c>
      <c r="AC12">
        <f>HYPERLINK("https://klasma.github.io/Logging_0192/tillsyn/S 1862-2026 tillsynsbegäran.docx", "S 1862-2026")</f>
        <v/>
      </c>
      <c r="AD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46228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Grov fjädermossa
Grön sköldmossa
Stor revmossa</t>
        </is>
      </c>
      <c r="W13">
        <f>HYPERLINK("https://klasma.github.io/Logging_0192/artfynd/A 41371-2021 artfynd.xlsx", "A 41371-2021")</f>
        <v/>
      </c>
      <c r="X13">
        <f>HYPERLINK("https://klasma.github.io/Logging_0192/kartor/A 41371-2021 karta.png", "A 41371-2021")</f>
        <v/>
      </c>
      <c r="Y13">
        <f>HYPERLINK("https://klasma.github.io/Logging_0192/kartor_geotiff/A 41371-2021 georefererad karta.tif", "A 41371-2021")</f>
        <v/>
      </c>
      <c r="AA13">
        <f>HYPERLINK("https://klasma.github.io/Logging_0192/klagomål/A 41371-2021 FSC-klagomål.docx", "A 41371-2021")</f>
        <v/>
      </c>
      <c r="AB13">
        <f>HYPERLINK("https://klasma.github.io/Logging_0192/klagomålsmail/A 41371-2021 FSC-klagomål mail.docx", "A 41371-2021")</f>
        <v/>
      </c>
      <c r="AC13">
        <f>HYPERLINK("https://klasma.github.io/Logging_0192/tillsyn/A 41371-2021 tillsynsbegäran.docx", "A 41371-2021")</f>
        <v/>
      </c>
      <c r="AD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46228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46228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46228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46228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46228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46228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46228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33528-2023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45131</v>
      </c>
      <c r="E21" s="1" t="n">
        <v>46228</v>
      </c>
      <c r="F21" t="inlineStr">
        <is>
          <t>STOCKHOLMS LÄN</t>
        </is>
      </c>
      <c r="G21" t="inlineStr">
        <is>
          <t>NYNÄSHAMN</t>
        </is>
      </c>
      <c r="I21" t="n">
        <v>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33528-2023 artfynd.xlsx", "A 33528-2023")</f>
        <v/>
      </c>
      <c r="X21">
        <f>HYPERLINK("https://klasma.github.io/Logging_0192/kartor/A 33528-2023 karta.png", "A 33528-2023")</f>
        <v/>
      </c>
      <c r="Y21">
        <f>HYPERLINK("https://klasma.github.io/Logging_0192/kartor_geotiff/A 33528-2023 georefererad karta.tif", "A 33528-2023")</f>
        <v/>
      </c>
      <c r="AA21">
        <f>HYPERLINK("https://klasma.github.io/Logging_0192/klagomål/A 33528-2023 FSC-klagomål.docx", "A 33528-2023")</f>
        <v/>
      </c>
      <c r="AB21">
        <f>HYPERLINK("https://klasma.github.io/Logging_0192/klagomålsmail/A 33528-2023 FSC-klagomål mail.docx", "A 33528-2023")</f>
        <v/>
      </c>
      <c r="AC21">
        <f>HYPERLINK("https://klasma.github.io/Logging_0192/tillsyn/A 33528-2023 tillsynsbegäran.docx", "A 33528-2023")</f>
        <v/>
      </c>
      <c r="AD21">
        <f>HYPERLINK("https://klasma.github.io/Logging_0192/tillsynsmail/A 33528-2023 tillsynsbegäran mail.docx", "A 33528-2023")</f>
        <v/>
      </c>
    </row>
    <row r="22" ht="15" customHeight="1">
      <c r="A22" t="inlineStr">
        <is>
          <t>A 49523-2023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46228</v>
      </c>
      <c r="F22" t="inlineStr">
        <is>
          <t>STOCKHOLMS LÄN</t>
        </is>
      </c>
      <c r="G22" t="inlineStr">
        <is>
          <t>NYNÄSHAMN</t>
        </is>
      </c>
      <c r="I22" t="n">
        <v>2.2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Grönpyrola
Västlig hakmossa</t>
        </is>
      </c>
      <c r="W22">
        <f>HYPERLINK("https://klasma.github.io/Logging_0192/artfynd/A 49523-2023 artfynd.xlsx", "A 49523-2023")</f>
        <v/>
      </c>
      <c r="X22">
        <f>HYPERLINK("https://klasma.github.io/Logging_0192/kartor/A 49523-2023 karta.png", "A 49523-2023")</f>
        <v/>
      </c>
      <c r="Y22">
        <f>HYPERLINK("https://klasma.github.io/Logging_0192/kartor_geotiff/A 49523-2023 georefererad karta.tif", "A 49523-2023")</f>
        <v/>
      </c>
      <c r="AA22">
        <f>HYPERLINK("https://klasma.github.io/Logging_0192/klagomål/A 49523-2023 FSC-klagomål.docx", "A 49523-2023")</f>
        <v/>
      </c>
      <c r="AB22">
        <f>HYPERLINK("https://klasma.github.io/Logging_0192/klagomålsmail/A 49523-2023 FSC-klagomål mail.docx", "A 49523-2023")</f>
        <v/>
      </c>
      <c r="AC22">
        <f>HYPERLINK("https://klasma.github.io/Logging_0192/tillsyn/A 49523-2023 tillsynsbegäran.docx", "A 49523-2023")</f>
        <v/>
      </c>
      <c r="AD22">
        <f>HYPERLINK("https://klasma.github.io/Logging_0192/tillsynsmail/A 49523-2023 tillsynsbegäran mail.docx", "A 49523-2023")</f>
        <v/>
      </c>
    </row>
    <row r="23" ht="15" customHeight="1">
      <c r="A23" t="inlineStr">
        <is>
          <t>A 5567-2023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46228</v>
      </c>
      <c r="F23" t="inlineStr">
        <is>
          <t>STOCKHOLMS LÄN</t>
        </is>
      </c>
      <c r="G23" t="inlineStr">
        <is>
          <t>NYNÄSHAMN</t>
        </is>
      </c>
      <c r="I23" t="n">
        <v>10.1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Sårläka
Blåsippa</t>
        </is>
      </c>
      <c r="W23">
        <f>HYPERLINK("https://klasma.github.io/Logging_0192/artfynd/A 5567-2023 artfynd.xlsx", "A 5567-2023")</f>
        <v/>
      </c>
      <c r="X23">
        <f>HYPERLINK("https://klasma.github.io/Logging_0192/kartor/A 5567-2023 karta.png", "A 5567-2023")</f>
        <v/>
      </c>
      <c r="Y23">
        <f>HYPERLINK("https://klasma.github.io/Logging_0192/kartor_geotiff/A 5567-2023 georefererad karta.tif", "A 5567-2023")</f>
        <v/>
      </c>
      <c r="AA23">
        <f>HYPERLINK("https://klasma.github.io/Logging_0192/klagomål/A 5567-2023 FSC-klagomål.docx", "A 5567-2023")</f>
        <v/>
      </c>
      <c r="AB23">
        <f>HYPERLINK("https://klasma.github.io/Logging_0192/klagomålsmail/A 5567-2023 FSC-klagomål mail.docx", "A 5567-2023")</f>
        <v/>
      </c>
      <c r="AC23">
        <f>HYPERLINK("https://klasma.github.io/Logging_0192/tillsyn/A 5567-2023 tillsynsbegäran.docx", "A 5567-2023")</f>
        <v/>
      </c>
      <c r="AD23">
        <f>HYPERLINK("https://klasma.github.io/Logging_0192/tillsynsmail/A 5567-2023 tillsynsbegäran mail.docx", "A 5567-2023")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46228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46228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46228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46228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46228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46228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46228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46228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46228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46228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46228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46228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23906-2026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46228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7.9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HYPERLINK("https://klasma.github.io/Logging_0192/artfynd/A 23906-2026 artfynd.xlsx", "A 23906-2026")</f>
        <v/>
      </c>
      <c r="X36">
        <f>HYPERLINK("https://klasma.github.io/Logging_0192/kartor/A 23906-2026 karta.png", "A 23906-2026")</f>
        <v/>
      </c>
      <c r="Y36">
        <f>HYPERLINK("https://klasma.github.io/Logging_0192/kartor_geotiff/A 23906-2026 georefererad karta.tif", "A 23906-2026")</f>
        <v/>
      </c>
      <c r="AA36">
        <f>HYPERLINK("https://klasma.github.io/Logging_0192/klagomål/A 23906-2026 FSC-klagomål.docx", "A 23906-2026")</f>
        <v/>
      </c>
      <c r="AB36">
        <f>HYPERLINK("https://klasma.github.io/Logging_0192/klagomålsmail/A 23906-2026 FSC-klagomål mail.docx", "A 23906-2026")</f>
        <v/>
      </c>
      <c r="AC36">
        <f>HYPERLINK("https://klasma.github.io/Logging_0192/tillsyn/A 23906-2026 tillsynsbegäran.docx", "A 23906-2026")</f>
        <v/>
      </c>
      <c r="AD36">
        <f>HYPERLINK("https://klasma.github.io/Logging_0192/tillsynsmail/A 23906-2026 tillsynsbegäran mail.docx", "A 23906-2026")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46228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38771-2021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44410</v>
      </c>
      <c r="E38" s="1" t="n">
        <v>46228</v>
      </c>
      <c r="F38" t="inlineStr">
        <is>
          <t>STOCKHOLMS LÄN</t>
        </is>
      </c>
      <c r="G38" t="inlineStr">
        <is>
          <t>NYNÄSHAMN</t>
        </is>
      </c>
      <c r="I38" t="n">
        <v>0.4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Gullviva</t>
        </is>
      </c>
      <c r="W38">
        <f>HYPERLINK("https://klasma.github.io/Logging_0192/artfynd/A 38771-2021 artfynd.xlsx", "A 38771-2021")</f>
        <v/>
      </c>
      <c r="X38">
        <f>HYPERLINK("https://klasma.github.io/Logging_0192/kartor/A 38771-2021 karta.png", "A 38771-2021")</f>
        <v/>
      </c>
      <c r="Y38">
        <f>HYPERLINK("https://klasma.github.io/Logging_0192/kartor_geotiff/A 38771-2021 georefererad karta.tif", "A 38771-2021")</f>
        <v/>
      </c>
      <c r="AA38">
        <f>HYPERLINK("https://klasma.github.io/Logging_0192/klagomål/A 38771-2021 FSC-klagomål.docx", "A 38771-2021")</f>
        <v/>
      </c>
      <c r="AB38">
        <f>HYPERLINK("https://klasma.github.io/Logging_0192/klagomålsmail/A 38771-2021 FSC-klagomål mail.docx", "A 38771-2021")</f>
        <v/>
      </c>
      <c r="AC38">
        <f>HYPERLINK("https://klasma.github.io/Logging_0192/tillsyn/A 38771-2021 tillsynsbegäran.docx", "A 38771-2021")</f>
        <v/>
      </c>
      <c r="AD38">
        <f>HYPERLINK("https://klasma.github.io/Logging_0192/tillsynsmail/A 38771-2021 tillsynsbegäran mail.docx", "A 38771-2021")</f>
        <v/>
      </c>
    </row>
    <row r="39" ht="15" customHeight="1">
      <c r="A39" t="inlineStr">
        <is>
          <t>A 38752-2021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44410</v>
      </c>
      <c r="E39" s="1" t="n">
        <v>46228</v>
      </c>
      <c r="F39" t="inlineStr">
        <is>
          <t>STOCKHOLMS LÄN</t>
        </is>
      </c>
      <c r="G39" t="inlineStr">
        <is>
          <t>NYNÄSHAMN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40753-2021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44420</v>
      </c>
      <c r="E40" s="1" t="n">
        <v>46228</v>
      </c>
      <c r="F40" t="inlineStr">
        <is>
          <t>STOCKHOLMS LÄN</t>
        </is>
      </c>
      <c r="G40" t="inlineStr">
        <is>
          <t>NYNÄSHAMN</t>
        </is>
      </c>
      <c r="H40" t="inlineStr">
        <is>
          <t>Kommuner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44621</v>
      </c>
      <c r="E41" s="1" t="n">
        <v>46228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70850-2021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46228</v>
      </c>
      <c r="F42" t="inlineStr">
        <is>
          <t>STOCKHOLMS LÄN</t>
        </is>
      </c>
      <c r="G42" t="inlineStr">
        <is>
          <t>NYNÄSHAMN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44424</v>
      </c>
      <c r="E43" s="1" t="n">
        <v>46228</v>
      </c>
      <c r="F43" t="inlineStr">
        <is>
          <t>STOCKHOLMS LÄN</t>
        </is>
      </c>
      <c r="G43" t="inlineStr">
        <is>
          <t>NYNÄSHAMN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44418</v>
      </c>
      <c r="E44" s="1" t="n">
        <v>46228</v>
      </c>
      <c r="F44" t="inlineStr">
        <is>
          <t>STOCKHOLMS LÄN</t>
        </is>
      </c>
      <c r="G44" t="inlineStr">
        <is>
          <t>NYNÄSHAMN</t>
        </is>
      </c>
      <c r="H44" t="inlineStr">
        <is>
          <t>Kommuner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44553</v>
      </c>
      <c r="E45" s="1" t="n">
        <v>46228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73966-2021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46228</v>
      </c>
      <c r="F46" t="inlineStr">
        <is>
          <t>STOCKHOLMS LÄN</t>
        </is>
      </c>
      <c r="G46" t="inlineStr">
        <is>
          <t>NYNÄSHAMN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73967-2021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46228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46228</v>
      </c>
      <c r="F48" t="inlineStr">
        <is>
          <t>STOCKHOLMS LÄN</t>
        </is>
      </c>
      <c r="G48" t="inlineStr">
        <is>
          <t>NYNÄSHAMN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44854</v>
      </c>
      <c r="E49" s="1" t="n">
        <v>46228</v>
      </c>
      <c r="F49" t="inlineStr">
        <is>
          <t>STOCKHOLMS LÄN</t>
        </is>
      </c>
      <c r="G49" t="inlineStr">
        <is>
          <t>NYNÄSHAMN</t>
        </is>
      </c>
      <c r="H49" t="inlineStr">
        <is>
          <t>Övriga statliga verk och myndigheter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52911-2024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45610</v>
      </c>
      <c r="E50" s="1" t="n">
        <v>46228</v>
      </c>
      <c r="F50" t="inlineStr">
        <is>
          <t>STOCKHOLMS LÄN</t>
        </is>
      </c>
      <c r="G50" t="inlineStr">
        <is>
          <t>NYNÄSHAMN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15465-2025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45747</v>
      </c>
      <c r="E51" s="1" t="n">
        <v>46228</v>
      </c>
      <c r="F51" t="inlineStr">
        <is>
          <t>STOCKHOLMS LÄN</t>
        </is>
      </c>
      <c r="G51" t="inlineStr">
        <is>
          <t>NYNÄSHAMN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45457</v>
      </c>
      <c r="E52" s="1" t="n">
        <v>46228</v>
      </c>
      <c r="F52" t="inlineStr">
        <is>
          <t>STOCKHOLMS LÄN</t>
        </is>
      </c>
      <c r="G52" t="inlineStr">
        <is>
          <t>NYNÄSHAMN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26190-2022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44735</v>
      </c>
      <c r="E53" s="1" t="n">
        <v>46228</v>
      </c>
      <c r="F53" t="inlineStr">
        <is>
          <t>STOCKHOLMS LÄN</t>
        </is>
      </c>
      <c r="G53" t="inlineStr">
        <is>
          <t>NYNÄSHAMN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7180-2024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45344</v>
      </c>
      <c r="E54" s="1" t="n">
        <v>46228</v>
      </c>
      <c r="F54" t="inlineStr">
        <is>
          <t>STOCKHOLMS LÄN</t>
        </is>
      </c>
      <c r="G54" t="inlineStr">
        <is>
          <t>NYNÄSHAMN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44942</v>
      </c>
      <c r="E55" s="1" t="n">
        <v>46228</v>
      </c>
      <c r="F55" t="inlineStr">
        <is>
          <t>STOCKHOLMS LÄN</t>
        </is>
      </c>
      <c r="G55" t="inlineStr">
        <is>
          <t>NYNÄSHAMN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37491-2022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46228</v>
      </c>
      <c r="F56" t="inlineStr">
        <is>
          <t>STOCKHOLMS LÄN</t>
        </is>
      </c>
      <c r="G56" t="inlineStr">
        <is>
          <t>NYNÄSHAMN</t>
        </is>
      </c>
      <c r="I56" t="n">
        <v>4.3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41281-2021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44424</v>
      </c>
      <c r="E57" s="1" t="n">
        <v>46228</v>
      </c>
      <c r="F57" t="inlineStr">
        <is>
          <t>STOCKHOLMS LÄN</t>
        </is>
      </c>
      <c r="G57" t="inlineStr">
        <is>
          <t>NYNÄSHAMN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26501-2024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45469</v>
      </c>
      <c r="E58" s="1" t="n">
        <v>46228</v>
      </c>
      <c r="F58" t="inlineStr">
        <is>
          <t>STOCKHOLMS LÄN</t>
        </is>
      </c>
      <c r="G58" t="inlineStr">
        <is>
          <t>NYNÄSHAMN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9020-2023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46228</v>
      </c>
      <c r="F59" t="inlineStr">
        <is>
          <t>STOCKHOLMS LÄN</t>
        </is>
      </c>
      <c r="G59" t="inlineStr">
        <is>
          <t>NYNÄSHAMN</t>
        </is>
      </c>
      <c r="H59" t="inlineStr">
        <is>
          <t>Kommuner</t>
        </is>
      </c>
      <c r="I59" t="n">
        <v>8.1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46228</v>
      </c>
      <c r="F60" t="inlineStr">
        <is>
          <t>STOCKHOLMS LÄN</t>
        </is>
      </c>
      <c r="G60" t="inlineStr">
        <is>
          <t>NYNÄSHAMN</t>
        </is>
      </c>
      <c r="H60" t="inlineStr">
        <is>
          <t>Kommuner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62038-2023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45266</v>
      </c>
      <c r="E61" s="1" t="n">
        <v>46228</v>
      </c>
      <c r="F61" t="inlineStr">
        <is>
          <t>STOCKHOLMS LÄN</t>
        </is>
      </c>
      <c r="G61" t="inlineStr">
        <is>
          <t>NYNÄSHAMN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45196</v>
      </c>
      <c r="E62" s="1" t="n">
        <v>46228</v>
      </c>
      <c r="F62" t="inlineStr">
        <is>
          <t>STOCKHOLMS LÄN</t>
        </is>
      </c>
      <c r="G62" t="inlineStr">
        <is>
          <t>NYNÄSHAMN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44574</v>
      </c>
      <c r="E63" s="1" t="n">
        <v>46228</v>
      </c>
      <c r="F63" t="inlineStr">
        <is>
          <t>STOCKHOLMS LÄN</t>
        </is>
      </c>
      <c r="G63" t="inlineStr">
        <is>
          <t>NYNÄSHAMN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46228</v>
      </c>
      <c r="F64" t="inlineStr">
        <is>
          <t>STOCKHOLMS LÄN</t>
        </is>
      </c>
      <c r="G64" t="inlineStr">
        <is>
          <t>NYNÄSHAMN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8932-2023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46228</v>
      </c>
      <c r="F65" t="inlineStr">
        <is>
          <t>STOCKHOLMS LÄN</t>
        </is>
      </c>
      <c r="G65" t="inlineStr">
        <is>
          <t>NYNÄSHAMN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45762</v>
      </c>
      <c r="E66" s="1" t="n">
        <v>46228</v>
      </c>
      <c r="F66" t="inlineStr">
        <is>
          <t>STOCKHOLMS LÄN</t>
        </is>
      </c>
      <c r="G66" t="inlineStr">
        <is>
          <t>NYNÄSHAMN</t>
        </is>
      </c>
      <c r="I66" t="n">
        <v>11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36052-2023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45149</v>
      </c>
      <c r="E67" s="1" t="n">
        <v>46228</v>
      </c>
      <c r="F67" t="inlineStr">
        <is>
          <t>STOCKHOLMS LÄN</t>
        </is>
      </c>
      <c r="G67" t="inlineStr">
        <is>
          <t>NYNÄSHAMN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46228</v>
      </c>
      <c r="F68" t="inlineStr">
        <is>
          <t>STOCKHOLMS LÄN</t>
        </is>
      </c>
      <c r="G68" t="inlineStr">
        <is>
          <t>NYNÄSHAMN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60977-2022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44908</v>
      </c>
      <c r="E69" s="1" t="n">
        <v>46228</v>
      </c>
      <c r="F69" t="inlineStr">
        <is>
          <t>STOCKHOLMS LÄN</t>
        </is>
      </c>
      <c r="G69" t="inlineStr">
        <is>
          <t>NYNÄSHAMN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45928</v>
      </c>
      <c r="E70" s="1" t="n">
        <v>46228</v>
      </c>
      <c r="F70" t="inlineStr">
        <is>
          <t>STOCKHOLMS LÄN</t>
        </is>
      </c>
      <c r="G70" t="inlineStr">
        <is>
          <t>NYNÄSHAMN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46228</v>
      </c>
      <c r="F71" t="inlineStr">
        <is>
          <t>STOCKHOLMS LÄN</t>
        </is>
      </c>
      <c r="G71" t="inlineStr">
        <is>
          <t>NYNÄSHAMN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48456-2025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45935</v>
      </c>
      <c r="E72" s="1" t="n">
        <v>46228</v>
      </c>
      <c r="F72" t="inlineStr">
        <is>
          <t>STOCKHOLMS LÄN</t>
        </is>
      </c>
      <c r="G72" t="inlineStr">
        <is>
          <t>NYNÄSHAMN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46228</v>
      </c>
      <c r="F73" t="inlineStr">
        <is>
          <t>STOCKHOLMS LÄN</t>
        </is>
      </c>
      <c r="G73" t="inlineStr">
        <is>
          <t>NYNÄSHAMN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64411-2023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46228</v>
      </c>
      <c r="F74" t="inlineStr">
        <is>
          <t>STOCKHOLMS LÄN</t>
        </is>
      </c>
      <c r="G74" t="inlineStr">
        <is>
          <t>NYNÄSHAMN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51954-2025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45952</v>
      </c>
      <c r="E75" s="1" t="n">
        <v>46228</v>
      </c>
      <c r="F75" t="inlineStr">
        <is>
          <t>STOCKHOLMS LÄN</t>
        </is>
      </c>
      <c r="G75" t="inlineStr">
        <is>
          <t>NYNÄSHAMN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41677-2023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45173</v>
      </c>
      <c r="E76" s="1" t="n">
        <v>46228</v>
      </c>
      <c r="F76" t="inlineStr">
        <is>
          <t>STOCKHOLMS LÄN</t>
        </is>
      </c>
      <c r="G76" t="inlineStr">
        <is>
          <t>NYNÄSHAMN</t>
        </is>
      </c>
      <c r="I76" t="n">
        <v>6.2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41680-2023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45173</v>
      </c>
      <c r="E77" s="1" t="n">
        <v>46228</v>
      </c>
      <c r="F77" t="inlineStr">
        <is>
          <t>STOCKHOLMS LÄN</t>
        </is>
      </c>
      <c r="G77" t="inlineStr">
        <is>
          <t>NYNÄSHAMN</t>
        </is>
      </c>
      <c r="I77" t="n">
        <v>12.3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56210-2025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46228</v>
      </c>
      <c r="F78" t="inlineStr">
        <is>
          <t>STOCKHOLMS LÄN</t>
        </is>
      </c>
      <c r="G78" t="inlineStr">
        <is>
          <t>NYNÄSHAMN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56385-2025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46228</v>
      </c>
      <c r="F79" t="inlineStr">
        <is>
          <t>STOCKHOLMS LÄN</t>
        </is>
      </c>
      <c r="G79" t="inlineStr">
        <is>
          <t>NYNÄSHAMN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44941</v>
      </c>
      <c r="E80" s="1" t="n">
        <v>46228</v>
      </c>
      <c r="F80" t="inlineStr">
        <is>
          <t>STOCKHOLMS LÄN</t>
        </is>
      </c>
      <c r="G80" t="inlineStr">
        <is>
          <t>NYNÄSHAMN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21192-2023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45062</v>
      </c>
      <c r="E81" s="1" t="n">
        <v>46228</v>
      </c>
      <c r="F81" t="inlineStr">
        <is>
          <t>STOCKHOLMS LÄN</t>
        </is>
      </c>
      <c r="G81" t="inlineStr">
        <is>
          <t>NYNÄSHAMN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44979</v>
      </c>
      <c r="E82" s="1" t="n">
        <v>46228</v>
      </c>
      <c r="F82" t="inlineStr">
        <is>
          <t>STOCKHOLMS LÄN</t>
        </is>
      </c>
      <c r="G82" t="inlineStr">
        <is>
          <t>NYNÄSHAMN</t>
        </is>
      </c>
      <c r="H82" t="inlineStr">
        <is>
          <t>Kommuner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25175-2023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45086</v>
      </c>
      <c r="E83" s="1" t="n">
        <v>46228</v>
      </c>
      <c r="F83" t="inlineStr">
        <is>
          <t>STOCKHOLMS LÄN</t>
        </is>
      </c>
      <c r="G83" t="inlineStr">
        <is>
          <t>NYNÄSHAMN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63463-2023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45274</v>
      </c>
      <c r="E84" s="1" t="n">
        <v>46228</v>
      </c>
      <c r="F84" t="inlineStr">
        <is>
          <t>STOCKHOLMS LÄN</t>
        </is>
      </c>
      <c r="G84" t="inlineStr">
        <is>
          <t>NYNÄSHAMN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33667-2022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46228</v>
      </c>
      <c r="F85" t="inlineStr">
        <is>
          <t>STOCKHOLMS LÄN</t>
        </is>
      </c>
      <c r="G85" t="inlineStr">
        <is>
          <t>NYNÄSHAMN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46228</v>
      </c>
      <c r="F86" t="inlineStr">
        <is>
          <t>STOCKHOLMS LÄN</t>
        </is>
      </c>
      <c r="G86" t="inlineStr">
        <is>
          <t>NYNÄSHAMN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62878-2023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46228</v>
      </c>
      <c r="F87" t="inlineStr">
        <is>
          <t>STOCKHOLMS LÄN</t>
        </is>
      </c>
      <c r="G87" t="inlineStr">
        <is>
          <t>NYNÄSHAMN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45239</v>
      </c>
      <c r="E88" s="1" t="n">
        <v>46228</v>
      </c>
      <c r="F88" t="inlineStr">
        <is>
          <t>STOCKHOLMS LÄN</t>
        </is>
      </c>
      <c r="G88" t="inlineStr">
        <is>
          <t>NYNÄSHAMN</t>
        </is>
      </c>
      <c r="H88" t="inlineStr">
        <is>
          <t>Kommuner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46052</v>
      </c>
      <c r="E89" s="1" t="n">
        <v>46228</v>
      </c>
      <c r="F89" t="inlineStr">
        <is>
          <t>STOCKHOLMS LÄN</t>
        </is>
      </c>
      <c r="G89" t="inlineStr">
        <is>
          <t>NYNÄSHAMN</t>
        </is>
      </c>
      <c r="H89" t="inlineStr">
        <is>
          <t>Kyrkan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26505-2024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45469</v>
      </c>
      <c r="E90" s="1" t="n">
        <v>46228</v>
      </c>
      <c r="F90" t="inlineStr">
        <is>
          <t>STOCKHOLMS LÄN</t>
        </is>
      </c>
      <c r="G90" t="inlineStr">
        <is>
          <t>NYNÄSHAMN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52859-2024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45610</v>
      </c>
      <c r="E91" s="1" t="n">
        <v>46228</v>
      </c>
      <c r="F91" t="inlineStr">
        <is>
          <t>STOCKHOLMS LÄN</t>
        </is>
      </c>
      <c r="G91" t="inlineStr">
        <is>
          <t>NYNÄSHAMN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34385-2023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45139</v>
      </c>
      <c r="E92" s="1" t="n">
        <v>46228</v>
      </c>
      <c r="F92" t="inlineStr">
        <is>
          <t>STOCKHOLMS LÄN</t>
        </is>
      </c>
      <c r="G92" t="inlineStr">
        <is>
          <t>NYNÄSHAMN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30476-2026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46210</v>
      </c>
      <c r="E93" s="1" t="n">
        <v>46228</v>
      </c>
      <c r="F93" t="inlineStr">
        <is>
          <t>STOCKHOLMS LÄN</t>
        </is>
      </c>
      <c r="G93" t="inlineStr">
        <is>
          <t>NYNÄSHAMN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30479-2026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46210</v>
      </c>
      <c r="E94" s="1" t="n">
        <v>46228</v>
      </c>
      <c r="F94" t="inlineStr">
        <is>
          <t>STOCKHOLMS LÄN</t>
        </is>
      </c>
      <c r="G94" t="inlineStr">
        <is>
          <t>NYNÄSHAMN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34660-2023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45140</v>
      </c>
      <c r="E95" s="1" t="n">
        <v>46228</v>
      </c>
      <c r="F95" t="inlineStr">
        <is>
          <t>STOCKHOLMS LÄN</t>
        </is>
      </c>
      <c r="G95" t="inlineStr">
        <is>
          <t>NYNÄSHAMN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30946-2026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46213</v>
      </c>
      <c r="E96" s="1" t="n">
        <v>46228</v>
      </c>
      <c r="F96" t="inlineStr">
        <is>
          <t>STOCKHOLMS LÄN</t>
        </is>
      </c>
      <c r="G96" t="inlineStr">
        <is>
          <t>NYNÄSHAMN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24595-2026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46170</v>
      </c>
      <c r="E97" s="1" t="n">
        <v>46228</v>
      </c>
      <c r="F97" t="inlineStr">
        <is>
          <t>STOCKHOLMS LÄN</t>
        </is>
      </c>
      <c r="G97" t="inlineStr">
        <is>
          <t>NYNÄSHAMN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12031-2026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46085</v>
      </c>
      <c r="E98" s="1" t="n">
        <v>46228</v>
      </c>
      <c r="F98" t="inlineStr">
        <is>
          <t>STOCKHOLMS LÄN</t>
        </is>
      </c>
      <c r="G98" t="inlineStr">
        <is>
          <t>NYNÄSHAMN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12032-2026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46085</v>
      </c>
      <c r="E99" s="1" t="n">
        <v>46228</v>
      </c>
      <c r="F99" t="inlineStr">
        <is>
          <t>STOCKHOLMS LÄN</t>
        </is>
      </c>
      <c r="G99" t="inlineStr">
        <is>
          <t>NYNÄSHAMN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44624-2023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45184</v>
      </c>
      <c r="E100" s="1" t="n">
        <v>46228</v>
      </c>
      <c r="F100" t="inlineStr">
        <is>
          <t>STOCKHOLMS LÄN</t>
        </is>
      </c>
      <c r="G100" t="inlineStr">
        <is>
          <t>NYNÄSHAMN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30910-2023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45113</v>
      </c>
      <c r="E101" s="1" t="n">
        <v>46228</v>
      </c>
      <c r="F101" t="inlineStr">
        <is>
          <t>STOCKHOLMS LÄN</t>
        </is>
      </c>
      <c r="G101" t="inlineStr">
        <is>
          <t>NYNÄSHAMN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41767-2024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45561</v>
      </c>
      <c r="E102" s="1" t="n">
        <v>46228</v>
      </c>
      <c r="F102" t="inlineStr">
        <is>
          <t>STOCKHOLMS LÄN</t>
        </is>
      </c>
      <c r="G102" t="inlineStr">
        <is>
          <t>NYNÄSHAMN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64494-2023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45280</v>
      </c>
      <c r="E103" s="1" t="n">
        <v>46228</v>
      </c>
      <c r="F103" t="inlineStr">
        <is>
          <t>STOCKHOLMS LÄN</t>
        </is>
      </c>
      <c r="G103" t="inlineStr">
        <is>
          <t>NYNÄSHAMN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47089-2023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45196</v>
      </c>
      <c r="E104" s="1" t="n">
        <v>46228</v>
      </c>
      <c r="F104" t="inlineStr">
        <is>
          <t>STOCKHOLMS LÄN</t>
        </is>
      </c>
      <c r="G104" t="inlineStr">
        <is>
          <t>NYNÄSHAMN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48978-2023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45209</v>
      </c>
      <c r="E105" s="1" t="n">
        <v>46228</v>
      </c>
      <c r="F105" t="inlineStr">
        <is>
          <t>STOCKHOLMS LÄN</t>
        </is>
      </c>
      <c r="G105" t="inlineStr">
        <is>
          <t>NYNÄSHAMN</t>
        </is>
      </c>
      <c r="H105" t="inlineStr">
        <is>
          <t>Kyrkan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17991-2024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46228</v>
      </c>
      <c r="F106" t="inlineStr">
        <is>
          <t>STOCKHOLMS LÄN</t>
        </is>
      </c>
      <c r="G106" t="inlineStr">
        <is>
          <t>NYNÄSHAMN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45028</v>
      </c>
      <c r="E107" s="1" t="n">
        <v>46228</v>
      </c>
      <c r="F107" t="inlineStr">
        <is>
          <t>STOCKHOLMS LÄN</t>
        </is>
      </c>
      <c r="G107" t="inlineStr">
        <is>
          <t>NYNÄSHAMN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8932-2023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46228</v>
      </c>
      <c r="F108" t="inlineStr">
        <is>
          <t>STOCKHOLMS LÄN</t>
        </is>
      </c>
      <c r="G108" t="inlineStr">
        <is>
          <t>NYNÄSHAMN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10224-2023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44986</v>
      </c>
      <c r="E109" s="1" t="n">
        <v>46228</v>
      </c>
      <c r="F109" t="inlineStr">
        <is>
          <t>STOCKHOLMS LÄN</t>
        </is>
      </c>
      <c r="G109" t="inlineStr">
        <is>
          <t>NYNÄSHAMN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44680</v>
      </c>
      <c r="E110" s="1" t="n">
        <v>46228</v>
      </c>
      <c r="F110" t="inlineStr">
        <is>
          <t>STOCKHOLMS LÄN</t>
        </is>
      </c>
      <c r="G110" t="inlineStr">
        <is>
          <t>NYNÄSHAMN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33787-2024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45520</v>
      </c>
      <c r="E111" s="1" t="n">
        <v>46228</v>
      </c>
      <c r="F111" t="inlineStr">
        <is>
          <t>STOCKHOLMS LÄN</t>
        </is>
      </c>
      <c r="G111" t="inlineStr">
        <is>
          <t>NYNÄSHAMN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45189</v>
      </c>
      <c r="E112" s="1" t="n">
        <v>46228</v>
      </c>
      <c r="F112" t="inlineStr">
        <is>
          <t>STOCKHOLMS LÄN</t>
        </is>
      </c>
      <c r="G112" t="inlineStr">
        <is>
          <t>NYNÄSHAMN</t>
        </is>
      </c>
      <c r="I112" t="n">
        <v>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45664</v>
      </c>
      <c r="E113" s="1" t="n">
        <v>46228</v>
      </c>
      <c r="F113" t="inlineStr">
        <is>
          <t>STOCKHOLMS LÄN</t>
        </is>
      </c>
      <c r="G113" t="inlineStr">
        <is>
          <t>NYNÄSHAMN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45610</v>
      </c>
      <c r="E114" s="1" t="n">
        <v>46228</v>
      </c>
      <c r="F114" t="inlineStr">
        <is>
          <t>STOCKHOLMS LÄN</t>
        </is>
      </c>
      <c r="G114" t="inlineStr">
        <is>
          <t>NYNÄSHAMN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35356-2023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45146</v>
      </c>
      <c r="E115" s="1" t="n">
        <v>46228</v>
      </c>
      <c r="F115" t="inlineStr">
        <is>
          <t>STOCKHOLMS LÄN</t>
        </is>
      </c>
      <c r="G115" t="inlineStr">
        <is>
          <t>NYNÄSHAMN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46228</v>
      </c>
      <c r="F116" t="inlineStr">
        <is>
          <t>STOCKHOLMS LÄN</t>
        </is>
      </c>
      <c r="G116" t="inlineStr">
        <is>
          <t>NYNÄSHAMN</t>
        </is>
      </c>
      <c r="H116" t="inlineStr">
        <is>
          <t>Kommuner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21202-2025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45779</v>
      </c>
      <c r="E117" s="1" t="n">
        <v>46228</v>
      </c>
      <c r="F117" t="inlineStr">
        <is>
          <t>STOCKHOLMS LÄN</t>
        </is>
      </c>
      <c r="G117" t="inlineStr">
        <is>
          <t>NYNÄSHAMN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22730-2025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45789</v>
      </c>
      <c r="E118" s="1" t="n">
        <v>46228</v>
      </c>
      <c r="F118" t="inlineStr">
        <is>
          <t>STOCKHOLMS LÄN</t>
        </is>
      </c>
      <c r="G118" t="inlineStr">
        <is>
          <t>NYNÄSHAMN</t>
        </is>
      </c>
      <c r="H118" t="inlineStr">
        <is>
          <t>Kommuner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45825</v>
      </c>
      <c r="E119" s="1" t="n">
        <v>46228</v>
      </c>
      <c r="F119" t="inlineStr">
        <is>
          <t>STOCKHOLMS LÄN</t>
        </is>
      </c>
      <c r="G119" t="inlineStr">
        <is>
          <t>NYNÄSHAMN</t>
        </is>
      </c>
      <c r="H119" t="inlineStr">
        <is>
          <t>Övriga statliga verk och myndigheter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52953-2024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45610</v>
      </c>
      <c r="E120" s="1" t="n">
        <v>46228</v>
      </c>
      <c r="F120" t="inlineStr">
        <is>
          <t>STOCKHOLMS LÄN</t>
        </is>
      </c>
      <c r="G120" t="inlineStr">
        <is>
          <t>NYNÄSHAMN</t>
        </is>
      </c>
      <c r="I120" t="n">
        <v>6.4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13945-2025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45737</v>
      </c>
      <c r="E121" s="1" t="n">
        <v>46228</v>
      </c>
      <c r="F121" t="inlineStr">
        <is>
          <t>STOCKHOLMS LÄN</t>
        </is>
      </c>
      <c r="G121" t="inlineStr">
        <is>
          <t>NYNÄSHAMN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36496-2025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45869</v>
      </c>
      <c r="E122" s="1" t="n">
        <v>46228</v>
      </c>
      <c r="F122" t="inlineStr">
        <is>
          <t>STOCKHOLMS LÄN</t>
        </is>
      </c>
      <c r="G122" t="inlineStr">
        <is>
          <t>NYNÄSHAMN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36468-2025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45869</v>
      </c>
      <c r="E123" s="1" t="n">
        <v>46228</v>
      </c>
      <c r="F123" t="inlineStr">
        <is>
          <t>STOCKHOLMS LÄN</t>
        </is>
      </c>
      <c r="G123" t="inlineStr">
        <is>
          <t>NYNÄSHAMN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2697-2024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45482</v>
      </c>
      <c r="E124" s="1" t="n">
        <v>46228</v>
      </c>
      <c r="F124" t="inlineStr">
        <is>
          <t>STOCKHOLMS LÄN</t>
        </is>
      </c>
      <c r="G124" t="inlineStr">
        <is>
          <t>NYNÄSHAMN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4477-2022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44787</v>
      </c>
      <c r="E125" s="1" t="n">
        <v>46228</v>
      </c>
      <c r="F125" t="inlineStr">
        <is>
          <t>STOCKHOLMS LÄN</t>
        </is>
      </c>
      <c r="G125" t="inlineStr">
        <is>
          <t>NYNÄSHAMN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>
      <c r="A126" t="inlineStr">
        <is>
          <t>S 1845-2026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46198</v>
      </c>
      <c r="E126" s="1" t="n">
        <v>46228</v>
      </c>
      <c r="F126" t="inlineStr">
        <is>
          <t>STOCKHOLMS LÄN</t>
        </is>
      </c>
      <c r="G126" t="inlineStr">
        <is>
          <t>NYNÄSHAMN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2026-07-25T01:52:05Z</dcterms:created>
  <dcterms:modified xmlns:dcterms="http://purl.org/dc/terms/" xmlns:xsi="http://www.w3.org/2001/XMLSchema-instance" xsi:type="dcterms:W3CDTF">2026-07-25T01:52:06Z</dcterms:modified>
</cp:coreProperties>
</file>