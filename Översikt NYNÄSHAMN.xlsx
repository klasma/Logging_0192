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46283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46283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46283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46283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46283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46283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46283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46283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46283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46283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46283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46283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46283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46283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46283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46283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46283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46283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47093-2023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45196</v>
      </c>
      <c r="E21" s="1" t="n">
        <v>46283</v>
      </c>
      <c r="F21" t="inlineStr">
        <is>
          <t>STOCKHOLMS LÄN</t>
        </is>
      </c>
      <c r="G21" t="inlineStr">
        <is>
          <t>NYNÄSHAMN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Hasselticka
Myskmadra</t>
        </is>
      </c>
      <c r="W21">
        <f>HYPERLINK("https://klasma.github.io/Logging_0192/artfynd/A 47093-2023 artfynd.xlsx", "A 47093-2023")</f>
        <v/>
      </c>
      <c r="X21">
        <f>HYPERLINK("https://klasma.github.io/Logging_0192/kartor/A 47093-2023 karta.png", "A 47093-2023")</f>
        <v/>
      </c>
      <c r="Y21">
        <f>HYPERLINK("https://klasma.github.io/Logging_0192/kartor_geotiff/A 47093-2023 georefererad karta.tif", "A 47093-2023")</f>
        <v/>
      </c>
      <c r="AA21">
        <f>HYPERLINK("https://klasma.github.io/Logging_0192/klagomål/A 47093-2023 FSC-klagomål.docx", "A 47093-2023")</f>
        <v/>
      </c>
      <c r="AB21">
        <f>HYPERLINK("https://klasma.github.io/Logging_0192/klagomålsmail/A 47093-2023 FSC-klagomål mail.docx", "A 47093-2023")</f>
        <v/>
      </c>
      <c r="AC21">
        <f>HYPERLINK("https://klasma.github.io/Logging_0192/tillsyn/A 47093-2023 tillsynsbegäran.docx", "A 47093-2023")</f>
        <v/>
      </c>
      <c r="AD21">
        <f>HYPERLINK("https://klasma.github.io/Logging_0192/tillsynsmail/A 47093-2023 tillsynsbegäran mail.docx", "A 47093-2023")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46283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46283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46283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46283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46283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62634-2022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44917</v>
      </c>
      <c r="E27" s="1" t="n">
        <v>46283</v>
      </c>
      <c r="F27" t="inlineStr">
        <is>
          <t>STOCKHOLMS LÄN</t>
        </is>
      </c>
      <c r="G27" t="inlineStr">
        <is>
          <t>NYNÄSHAMN</t>
        </is>
      </c>
      <c r="I27" t="n">
        <v>15.8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Vanlig padda</t>
        </is>
      </c>
      <c r="W27">
        <f>HYPERLINK("https://klasma.github.io/Logging_0192/artfynd/A 62634-2022 artfynd.xlsx", "A 62634-2022")</f>
        <v/>
      </c>
      <c r="X27">
        <f>HYPERLINK("https://klasma.github.io/Logging_0192/kartor/A 62634-2022 karta.png", "A 62634-2022")</f>
        <v/>
      </c>
      <c r="Y27">
        <f>HYPERLINK("https://klasma.github.io/Logging_0192/kartor_geotiff/A 62634-2022 georefererad karta.tif", "A 62634-2022")</f>
        <v/>
      </c>
      <c r="AA27">
        <f>HYPERLINK("https://klasma.github.io/Logging_0192/klagomål/A 62634-2022 FSC-klagomål.docx", "A 62634-2022")</f>
        <v/>
      </c>
      <c r="AB27">
        <f>HYPERLINK("https://klasma.github.io/Logging_0192/klagomålsmail/A 62634-2022 FSC-klagomål mail.docx", "A 62634-2022")</f>
        <v/>
      </c>
      <c r="AC27">
        <f>HYPERLINK("https://klasma.github.io/Logging_0192/tillsyn/A 62634-2022 tillsynsbegäran.docx", "A 62634-2022")</f>
        <v/>
      </c>
      <c r="AD27">
        <f>HYPERLINK("https://klasma.github.io/Logging_0192/tillsynsmail/A 62634-2022 tillsynsbegäran mail.docx", "A 62634-2022")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46283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46283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23906-2026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46167</v>
      </c>
      <c r="E30" s="1" t="n">
        <v>46283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7.9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HYPERLINK("https://klasma.github.io/Logging_0192/artfynd/A 23906-2026 artfynd.xlsx", "A 23906-2026")</f>
        <v/>
      </c>
      <c r="X30">
        <f>HYPERLINK("https://klasma.github.io/Logging_0192/kartor/A 23906-2026 karta.png", "A 23906-2026")</f>
        <v/>
      </c>
      <c r="Y30">
        <f>HYPERLINK("https://klasma.github.io/Logging_0192/kartor_geotiff/A 23906-2026 georefererad karta.tif", "A 23906-2026")</f>
        <v/>
      </c>
      <c r="AA30">
        <f>HYPERLINK("https://klasma.github.io/Logging_0192/klagomål/A 23906-2026 FSC-klagomål.docx", "A 23906-2026")</f>
        <v/>
      </c>
      <c r="AB30">
        <f>HYPERLINK("https://klasma.github.io/Logging_0192/klagomålsmail/A 23906-2026 FSC-klagomål mail.docx", "A 23906-2026")</f>
        <v/>
      </c>
      <c r="AC30">
        <f>HYPERLINK("https://klasma.github.io/Logging_0192/tillsyn/A 23906-2026 tillsynsbegäran.docx", "A 23906-2026")</f>
        <v/>
      </c>
      <c r="AD30">
        <f>HYPERLINK("https://klasma.github.io/Logging_0192/tillsynsmail/A 23906-2026 tillsynsbegäran mail.docx", "A 23906-2026")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46283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46283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46283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46283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46283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46283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46283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Grå kantarell</t>
        </is>
      </c>
      <c r="W37">
        <f>HYPERLINK("https://klasma.github.io/Logging_0192/artfynd/A 32074-2023 artfynd.xlsx", "A 32074-2023")</f>
        <v/>
      </c>
      <c r="X37">
        <f>HYPERLINK("https://klasma.github.io/Logging_0192/kartor/A 32074-2023 karta.png", "A 32074-2023")</f>
        <v/>
      </c>
      <c r="Y37">
        <f>HYPERLINK("https://klasma.github.io/Logging_0192/kartor_geotiff/A 32074-2023 georefererad karta.tif", "A 32074-2023")</f>
        <v/>
      </c>
      <c r="AA37">
        <f>HYPERLINK("https://klasma.github.io/Logging_0192/klagomål/A 32074-2023 FSC-klagomål.docx", "A 32074-2023")</f>
        <v/>
      </c>
      <c r="AB37">
        <f>HYPERLINK("https://klasma.github.io/Logging_0192/klagomålsmail/A 32074-2023 FSC-klagomål mail.docx", "A 32074-2023")</f>
        <v/>
      </c>
      <c r="AC37">
        <f>HYPERLINK("https://klasma.github.io/Logging_0192/tillsyn/A 32074-2023 tillsynsbegäran.docx", "A 32074-2023")</f>
        <v/>
      </c>
      <c r="AD37">
        <f>HYPERLINK("https://klasma.github.io/Logging_0192/tillsynsmail/A 32074-2023 tillsynsbegäran mail.docx", "A 32074-2023")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46283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46283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46283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46283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46283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46283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46283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45419</v>
      </c>
      <c r="E45" s="1" t="n">
        <v>46283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45469</v>
      </c>
      <c r="E46" s="1" t="n">
        <v>46283</v>
      </c>
      <c r="F46" t="inlineStr">
        <is>
          <t>STOCKHOLMS LÄN</t>
        </is>
      </c>
      <c r="G46" t="inlineStr">
        <is>
          <t>NYNÄSHAMN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46283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4688-2023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44957</v>
      </c>
      <c r="E48" s="1" t="n">
        <v>46283</v>
      </c>
      <c r="F48" t="inlineStr">
        <is>
          <t>STOCKHOLMS LÄN</t>
        </is>
      </c>
      <c r="G48" t="inlineStr">
        <is>
          <t>NYNÄSHAMN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9020-2023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46283</v>
      </c>
      <c r="F49" t="inlineStr">
        <is>
          <t>STOCKHOLMS LÄN</t>
        </is>
      </c>
      <c r="G49" t="inlineStr">
        <is>
          <t>NYNÄSHAMN</t>
        </is>
      </c>
      <c r="H49" t="inlineStr">
        <is>
          <t>Kommuner</t>
        </is>
      </c>
      <c r="I49" t="n">
        <v>8.1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6775-2022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44602</v>
      </c>
      <c r="E50" s="1" t="n">
        <v>46283</v>
      </c>
      <c r="F50" t="inlineStr">
        <is>
          <t>STOCKHOLMS LÄN</t>
        </is>
      </c>
      <c r="G50" t="inlineStr">
        <is>
          <t>NYNÄSHAMN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8932-2023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46283</v>
      </c>
      <c r="F51" t="inlineStr">
        <is>
          <t>STOCKHOLMS LÄN</t>
        </is>
      </c>
      <c r="G51" t="inlineStr">
        <is>
          <t>NYNÄSHAMN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44574</v>
      </c>
      <c r="E52" s="1" t="n">
        <v>46283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46283</v>
      </c>
      <c r="F53" t="inlineStr">
        <is>
          <t>STOCKHOLMS LÄN</t>
        </is>
      </c>
      <c r="G53" t="inlineStr">
        <is>
          <t>NYNÄSHAMN</t>
        </is>
      </c>
      <c r="H53" t="inlineStr">
        <is>
          <t>Övriga statliga verk och myndigheter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15176-2024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45400</v>
      </c>
      <c r="E54" s="1" t="n">
        <v>46283</v>
      </c>
      <c r="F54" t="inlineStr">
        <is>
          <t>STOCKHOLMS LÄN</t>
        </is>
      </c>
      <c r="G54" t="inlineStr">
        <is>
          <t>NYNÄSHAMN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52953-2024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45610</v>
      </c>
      <c r="E55" s="1" t="n">
        <v>46283</v>
      </c>
      <c r="F55" t="inlineStr">
        <is>
          <t>STOCKHOLMS LÄN</t>
        </is>
      </c>
      <c r="G55" t="inlineStr">
        <is>
          <t>NYNÄSHAMN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13945-2025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45737</v>
      </c>
      <c r="E56" s="1" t="n">
        <v>46283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25175-2023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45086</v>
      </c>
      <c r="E57" s="1" t="n">
        <v>46283</v>
      </c>
      <c r="F57" t="inlineStr">
        <is>
          <t>STOCKHOLMS LÄN</t>
        </is>
      </c>
      <c r="G57" t="inlineStr">
        <is>
          <t>NYNÄSHAMN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34385-2023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45139</v>
      </c>
      <c r="E58" s="1" t="n">
        <v>46283</v>
      </c>
      <c r="F58" t="inlineStr">
        <is>
          <t>STOCKHOLMS LÄN</t>
        </is>
      </c>
      <c r="G58" t="inlineStr">
        <is>
          <t>NYNÄSHAMN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46283</v>
      </c>
      <c r="F59" t="inlineStr">
        <is>
          <t>STOCKHOLMS LÄN</t>
        </is>
      </c>
      <c r="G59" t="inlineStr">
        <is>
          <t>NYNÄSHAMN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46283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36468-2025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45869</v>
      </c>
      <c r="E61" s="1" t="n">
        <v>46283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45869</v>
      </c>
      <c r="E62" s="1" t="n">
        <v>46283</v>
      </c>
      <c r="F62" t="inlineStr">
        <is>
          <t>STOCKHOLMS LÄN</t>
        </is>
      </c>
      <c r="G62" t="inlineStr">
        <is>
          <t>NYNÄSHAMN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45457</v>
      </c>
      <c r="E63" s="1" t="n">
        <v>46283</v>
      </c>
      <c r="F63" t="inlineStr">
        <is>
          <t>STOCKHOLMS LÄN</t>
        </is>
      </c>
      <c r="G63" t="inlineStr">
        <is>
          <t>NYNÄSHAMN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46283</v>
      </c>
      <c r="F64" t="inlineStr">
        <is>
          <t>STOCKHOLMS LÄN</t>
        </is>
      </c>
      <c r="G64" t="inlineStr">
        <is>
          <t>NYNÄSHAMN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52950-2024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46283</v>
      </c>
      <c r="F65" t="inlineStr">
        <is>
          <t>STOCKHOLMS LÄN</t>
        </is>
      </c>
      <c r="G65" t="inlineStr">
        <is>
          <t>NYNÄSHAMN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18411-2025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45762</v>
      </c>
      <c r="E66" s="1" t="n">
        <v>46283</v>
      </c>
      <c r="F66" t="inlineStr">
        <is>
          <t>STOCKHOLMS LÄN</t>
        </is>
      </c>
      <c r="G66" t="inlineStr">
        <is>
          <t>NYNÄSHAMN</t>
        </is>
      </c>
      <c r="I66" t="n">
        <v>11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47089-2023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45196</v>
      </c>
      <c r="E67" s="1" t="n">
        <v>46283</v>
      </c>
      <c r="F67" t="inlineStr">
        <is>
          <t>STOCKHOLMS LÄN</t>
        </is>
      </c>
      <c r="G67" t="inlineStr">
        <is>
          <t>NYNÄSHAMN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60977-2022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44908</v>
      </c>
      <c r="E68" s="1" t="n">
        <v>46283</v>
      </c>
      <c r="F68" t="inlineStr">
        <is>
          <t>STOCKHOLMS LÄN</t>
        </is>
      </c>
      <c r="G68" t="inlineStr">
        <is>
          <t>NYNÄSHAMN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45113</v>
      </c>
      <c r="E69" s="1" t="n">
        <v>46283</v>
      </c>
      <c r="F69" t="inlineStr">
        <is>
          <t>STOCKHOLMS LÄN</t>
        </is>
      </c>
      <c r="G69" t="inlineStr">
        <is>
          <t>NYNÄSHAMN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46283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45935</v>
      </c>
      <c r="E71" s="1" t="n">
        <v>46283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34660-2023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45140</v>
      </c>
      <c r="E72" s="1" t="n">
        <v>46283</v>
      </c>
      <c r="F72" t="inlineStr">
        <is>
          <t>STOCKHOLMS LÄN</t>
        </is>
      </c>
      <c r="G72" t="inlineStr">
        <is>
          <t>NYNÄSHAMN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9062-2023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44979</v>
      </c>
      <c r="E73" s="1" t="n">
        <v>46283</v>
      </c>
      <c r="F73" t="inlineStr">
        <is>
          <t>STOCKHOLMS LÄN</t>
        </is>
      </c>
      <c r="G73" t="inlineStr">
        <is>
          <t>NYNÄSHAMN</t>
        </is>
      </c>
      <c r="H73" t="inlineStr">
        <is>
          <t>Kommuner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47128-2023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45196</v>
      </c>
      <c r="E74" s="1" t="n">
        <v>46283</v>
      </c>
      <c r="F74" t="inlineStr">
        <is>
          <t>STOCKHOLMS LÄN</t>
        </is>
      </c>
      <c r="G74" t="inlineStr">
        <is>
          <t>NYNÄSHAMN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44942</v>
      </c>
      <c r="E75" s="1" t="n">
        <v>46283</v>
      </c>
      <c r="F75" t="inlineStr">
        <is>
          <t>STOCKHOLMS LÄN</t>
        </is>
      </c>
      <c r="G75" t="inlineStr">
        <is>
          <t>NYNÄSHAMN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24595-2026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46170</v>
      </c>
      <c r="E76" s="1" t="n">
        <v>46283</v>
      </c>
      <c r="F76" t="inlineStr">
        <is>
          <t>STOCKHOLMS LÄN</t>
        </is>
      </c>
      <c r="G76" t="inlineStr">
        <is>
          <t>NYNÄSHAMN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26505-2024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45469</v>
      </c>
      <c r="E77" s="1" t="n">
        <v>46283</v>
      </c>
      <c r="F77" t="inlineStr">
        <is>
          <t>STOCKHOLMS LÄN</t>
        </is>
      </c>
      <c r="G77" t="inlineStr">
        <is>
          <t>NYNÄSHAMN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51954-2025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45952</v>
      </c>
      <c r="E78" s="1" t="n">
        <v>46283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45419</v>
      </c>
      <c r="E79" s="1" t="n">
        <v>46283</v>
      </c>
      <c r="F79" t="inlineStr">
        <is>
          <t>STOCKHOLMS LÄN</t>
        </is>
      </c>
      <c r="G79" t="inlineStr">
        <is>
          <t>NYNÄSHAMN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56210-2025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46283</v>
      </c>
      <c r="F80" t="inlineStr">
        <is>
          <t>STOCKHOLMS LÄN</t>
        </is>
      </c>
      <c r="G80" t="inlineStr">
        <is>
          <t>NYNÄSHAMN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56385-2025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45974</v>
      </c>
      <c r="E81" s="1" t="n">
        <v>46283</v>
      </c>
      <c r="F81" t="inlineStr">
        <is>
          <t>STOCKHOLMS LÄN</t>
        </is>
      </c>
      <c r="G81" t="inlineStr">
        <is>
          <t>NYNÄSHAMN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21192-2023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45062</v>
      </c>
      <c r="E82" s="1" t="n">
        <v>46283</v>
      </c>
      <c r="F82" t="inlineStr">
        <is>
          <t>STOCKHOLMS LÄN</t>
        </is>
      </c>
      <c r="G82" t="inlineStr">
        <is>
          <t>NYNÄSHAMN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32840-2026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46244</v>
      </c>
      <c r="E83" s="1" t="n">
        <v>46283</v>
      </c>
      <c r="F83" t="inlineStr">
        <is>
          <t>STOCKHOLMS LÄN</t>
        </is>
      </c>
      <c r="G83" t="inlineStr">
        <is>
          <t>NYNÄSHAMN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33060-2026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46245</v>
      </c>
      <c r="E84" s="1" t="n">
        <v>46283</v>
      </c>
      <c r="F84" t="inlineStr">
        <is>
          <t>STOCKHOLMS LÄN</t>
        </is>
      </c>
      <c r="G84" t="inlineStr">
        <is>
          <t>NYNÄSHAMN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33063-2026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46245</v>
      </c>
      <c r="E85" s="1" t="n">
        <v>46283</v>
      </c>
      <c r="F85" t="inlineStr">
        <is>
          <t>STOCKHOLMS LÄN</t>
        </is>
      </c>
      <c r="G85" t="inlineStr">
        <is>
          <t>NYNÄSHAMN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33067-2026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46245</v>
      </c>
      <c r="E86" s="1" t="n">
        <v>46283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45149</v>
      </c>
      <c r="E87" s="1" t="n">
        <v>46283</v>
      </c>
      <c r="F87" t="inlineStr">
        <is>
          <t>STOCKHOLMS LÄN</t>
        </is>
      </c>
      <c r="G87" t="inlineStr">
        <is>
          <t>NYNÄSHAMN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48978-2023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45209</v>
      </c>
      <c r="E88" s="1" t="n">
        <v>46283</v>
      </c>
      <c r="F88" t="inlineStr">
        <is>
          <t>STOCKHOLMS LÄN</t>
        </is>
      </c>
      <c r="G88" t="inlineStr">
        <is>
          <t>NYNÄSHAMN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46283</v>
      </c>
      <c r="F89" t="inlineStr">
        <is>
          <t>STOCKHOLMS LÄN</t>
        </is>
      </c>
      <c r="G89" t="inlineStr">
        <is>
          <t>NYNÄSHAMN</t>
        </is>
      </c>
      <c r="I89" t="n">
        <v>12.3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46283</v>
      </c>
      <c r="F90" t="inlineStr">
        <is>
          <t>STOCKHOLMS LÄN</t>
        </is>
      </c>
      <c r="G90" t="inlineStr">
        <is>
          <t>NYNÄSHAMN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12032-2026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46085</v>
      </c>
      <c r="E91" s="1" t="n">
        <v>46283</v>
      </c>
      <c r="F91" t="inlineStr">
        <is>
          <t>STOCKHOLMS LÄN</t>
        </is>
      </c>
      <c r="G91" t="inlineStr">
        <is>
          <t>NYNÄSHAMN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46283</v>
      </c>
      <c r="F92" t="inlineStr">
        <is>
          <t>STOCKHOLMS LÄN</t>
        </is>
      </c>
      <c r="G92" t="inlineStr">
        <is>
          <t>NYNÄSHAMN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30476-2026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46283</v>
      </c>
      <c r="F93" t="inlineStr">
        <is>
          <t>STOCKHOLMS LÄN</t>
        </is>
      </c>
      <c r="G93" t="inlineStr">
        <is>
          <t>NYNÄSHAMN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64494-2023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45280</v>
      </c>
      <c r="E94" s="1" t="n">
        <v>46283</v>
      </c>
      <c r="F94" t="inlineStr">
        <is>
          <t>STOCKHOLMS LÄN</t>
        </is>
      </c>
      <c r="G94" t="inlineStr">
        <is>
          <t>NYNÄSHAMN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45239</v>
      </c>
      <c r="E95" s="1" t="n">
        <v>46283</v>
      </c>
      <c r="F95" t="inlineStr">
        <is>
          <t>STOCKHOLMS LÄN</t>
        </is>
      </c>
      <c r="G95" t="inlineStr">
        <is>
          <t>NYNÄSHAMN</t>
        </is>
      </c>
      <c r="H95" t="inlineStr">
        <is>
          <t>Kommuner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46283</v>
      </c>
      <c r="F96" t="inlineStr">
        <is>
          <t>STOCKHOLMS LÄN</t>
        </is>
      </c>
      <c r="G96" t="inlineStr">
        <is>
          <t>NYNÄSHAMN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45344</v>
      </c>
      <c r="E97" s="1" t="n">
        <v>46283</v>
      </c>
      <c r="F97" t="inlineStr">
        <is>
          <t>STOCKHOLMS LÄN</t>
        </is>
      </c>
      <c r="G97" t="inlineStr">
        <is>
          <t>NYNÄSHAMN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45173</v>
      </c>
      <c r="E98" s="1" t="n">
        <v>46283</v>
      </c>
      <c r="F98" t="inlineStr">
        <is>
          <t>STOCKHOLMS LÄN</t>
        </is>
      </c>
      <c r="G98" t="inlineStr">
        <is>
          <t>NYNÄSHAMN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62878-2023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45272</v>
      </c>
      <c r="E99" s="1" t="n">
        <v>46283</v>
      </c>
      <c r="F99" t="inlineStr">
        <is>
          <t>STOCKHOLMS LÄN</t>
        </is>
      </c>
      <c r="G99" t="inlineStr">
        <is>
          <t>NYNÄSHAMN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46237</v>
      </c>
      <c r="E100" s="1" t="n">
        <v>46283</v>
      </c>
      <c r="F100" t="inlineStr">
        <is>
          <t>STOCKHOLMS LÄN</t>
        </is>
      </c>
      <c r="G100" t="inlineStr">
        <is>
          <t>NYNÄSHAMN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46237</v>
      </c>
      <c r="E101" s="1" t="n">
        <v>46283</v>
      </c>
      <c r="F101" t="inlineStr">
        <is>
          <t>STOCKHOLMS LÄN</t>
        </is>
      </c>
      <c r="G101" t="inlineStr">
        <is>
          <t>NYNÄSHAMN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17634-2022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44680</v>
      </c>
      <c r="E102" s="1" t="n">
        <v>46283</v>
      </c>
      <c r="F102" t="inlineStr">
        <is>
          <t>STOCKHOLMS LÄN</t>
        </is>
      </c>
      <c r="G102" t="inlineStr">
        <is>
          <t>NYNÄSHAMN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44619-2023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46283</v>
      </c>
      <c r="F103" t="inlineStr">
        <is>
          <t>STOCKHOLMS LÄN</t>
        </is>
      </c>
      <c r="G103" t="inlineStr">
        <is>
          <t>NYNÄSHAMN</t>
        </is>
      </c>
      <c r="I103" t="n">
        <v>7.6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46283</v>
      </c>
      <c r="F104" t="inlineStr">
        <is>
          <t>STOCKHOLMS LÄN</t>
        </is>
      </c>
      <c r="G104" t="inlineStr">
        <is>
          <t>NYNÄSHAMN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52910-2024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45610</v>
      </c>
      <c r="E105" s="1" t="n">
        <v>46283</v>
      </c>
      <c r="F105" t="inlineStr">
        <is>
          <t>STOCKHOLMS LÄN</t>
        </is>
      </c>
      <c r="G105" t="inlineStr">
        <is>
          <t>NYNÄSHAMN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44624-2023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45184</v>
      </c>
      <c r="E106" s="1" t="n">
        <v>46283</v>
      </c>
      <c r="F106" t="inlineStr">
        <is>
          <t>STOCKHOLMS LÄN</t>
        </is>
      </c>
      <c r="G106" t="inlineStr">
        <is>
          <t>NYNÄSHAMN</t>
        </is>
      </c>
      <c r="I106" t="n">
        <v>6.8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46283</v>
      </c>
      <c r="F107" t="inlineStr">
        <is>
          <t>STOCKHOLMS LÄN</t>
        </is>
      </c>
      <c r="G107" t="inlineStr">
        <is>
          <t>NYNÄSHAMN</t>
        </is>
      </c>
      <c r="H107" t="inlineStr">
        <is>
          <t>Kyrkan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33787-2024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45520</v>
      </c>
      <c r="E108" s="1" t="n">
        <v>46283</v>
      </c>
      <c r="F108" t="inlineStr">
        <is>
          <t>STOCKHOLMS LÄN</t>
        </is>
      </c>
      <c r="G108" t="inlineStr">
        <is>
          <t>NYNÄSHAMN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35356-2023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45146</v>
      </c>
      <c r="E109" s="1" t="n">
        <v>46283</v>
      </c>
      <c r="F109" t="inlineStr">
        <is>
          <t>STOCKHOLMS LÄN</t>
        </is>
      </c>
      <c r="G109" t="inlineStr">
        <is>
          <t>NYNÄSHAMN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33667-2022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44789</v>
      </c>
      <c r="E110" s="1" t="n">
        <v>46283</v>
      </c>
      <c r="F110" t="inlineStr">
        <is>
          <t>STOCKHOLMS LÄN</t>
        </is>
      </c>
      <c r="G110" t="inlineStr">
        <is>
          <t>NYNÄSHAMN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16793-2023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45028</v>
      </c>
      <c r="E111" s="1" t="n">
        <v>46283</v>
      </c>
      <c r="F111" t="inlineStr">
        <is>
          <t>STOCKHOLMS LÄN</t>
        </is>
      </c>
      <c r="G111" t="inlineStr">
        <is>
          <t>NYNÄSHAMN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44986</v>
      </c>
      <c r="E112" s="1" t="n">
        <v>46283</v>
      </c>
      <c r="F112" t="inlineStr">
        <is>
          <t>STOCKHOLMS LÄN</t>
        </is>
      </c>
      <c r="G112" t="inlineStr">
        <is>
          <t>NYNÄSHAMN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46283</v>
      </c>
      <c r="F113" t="inlineStr">
        <is>
          <t>STOCKHOLMS LÄN</t>
        </is>
      </c>
      <c r="G113" t="inlineStr">
        <is>
          <t>NYNÄSHAMN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44941</v>
      </c>
      <c r="E114" s="1" t="n">
        <v>46283</v>
      </c>
      <c r="F114" t="inlineStr">
        <is>
          <t>STOCKHOLMS LÄN</t>
        </is>
      </c>
      <c r="G114" t="inlineStr">
        <is>
          <t>NYNÄSHAMN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41767-2024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45561</v>
      </c>
      <c r="E115" s="1" t="n">
        <v>46283</v>
      </c>
      <c r="F115" t="inlineStr">
        <is>
          <t>STOCKHOLMS LÄN</t>
        </is>
      </c>
      <c r="G115" t="inlineStr">
        <is>
          <t>NYNÄSHAMN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15465-2025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45747</v>
      </c>
      <c r="E116" s="1" t="n">
        <v>46283</v>
      </c>
      <c r="F116" t="inlineStr">
        <is>
          <t>STOCKHOLMS LÄN</t>
        </is>
      </c>
      <c r="G116" t="inlineStr">
        <is>
          <t>NYNÄSHAMN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46283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21202-2025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45779</v>
      </c>
      <c r="E118" s="1" t="n">
        <v>46283</v>
      </c>
      <c r="F118" t="inlineStr">
        <is>
          <t>STOCKHOLMS LÄN</t>
        </is>
      </c>
      <c r="G118" t="inlineStr">
        <is>
          <t>NYNÄSHAMN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22730-2025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45789</v>
      </c>
      <c r="E119" s="1" t="n">
        <v>46283</v>
      </c>
      <c r="F119" t="inlineStr">
        <is>
          <t>STOCKHOLMS LÄN</t>
        </is>
      </c>
      <c r="G119" t="inlineStr">
        <is>
          <t>NYNÄSHAMN</t>
        </is>
      </c>
      <c r="H119" t="inlineStr">
        <is>
          <t>Kommuner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46283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46283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46283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2026-09-18T02:04:54Z</dcterms:created>
  <dcterms:modified xmlns:dcterms="http://purl.org/dc/terms/" xmlns:xsi="http://www.w3.org/2001/XMLSchema-instance" xsi:type="dcterms:W3CDTF">2026-09-18T02:04:54Z</dcterms:modified>
</cp:coreProperties>
</file>