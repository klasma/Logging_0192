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43747-2024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46313</v>
      </c>
      <c r="F2" t="inlineStr">
        <is>
          <t>STOCKHOLMS LÄN</t>
        </is>
      </c>
      <c r="G2" t="inlineStr">
        <is>
          <t>NYNÄSHAMN</t>
        </is>
      </c>
      <c r="I2" t="n">
        <v>8.6</v>
      </c>
      <c r="J2" t="n">
        <v>4</v>
      </c>
      <c r="K2" t="n">
        <v>14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21</v>
      </c>
      <c r="T2" t="n">
        <v>27</v>
      </c>
      <c r="U2" t="n">
        <v>27</v>
      </c>
      <c r="V2" s="2" t="inlineStr">
        <is>
          <t>Dunmossa
Kattfotslav
Motaggsvamp
Tallticka
Blanksvart trämyra
Blomkålssvamp
Blåmossa
Brandticka
Bronshjon
Grön sköldmossa
Hasselticka
Klippfrullania
Mörk husmossa
Platt fjädermossa
Skogshakmossa
Stubbspretmossa
Tibast
Trådticka
Blåsippa
Spillkråka
Gröngöling</t>
        </is>
      </c>
      <c r="W2">
        <f>HYPERLINK("https://klasma.github.io/Logging_0192/artfynd/A 43747-2024 artfynd.xlsx", "A 43747-2024")</f>
        <v/>
      </c>
      <c r="X2">
        <f>HYPERLINK("https://klasma.github.io/Logging_0192/kartor/A 43747-2024 karta.png", "A 43747-2024")</f>
        <v/>
      </c>
      <c r="Y2">
        <f>HYPERLINK("https://klasma.github.io/Logging_0192/kartor_geotiff/A 43747-2024 georefererad karta.tif", "A 43747-2024")</f>
        <v/>
      </c>
      <c r="AA2">
        <f>HYPERLINK("https://klasma.github.io/Logging_0192/klagomål/A 43747-2024 FSC-klagomål.docx", "A 43747-2024")</f>
        <v/>
      </c>
      <c r="AB2">
        <f>HYPERLINK("https://klasma.github.io/Logging_0192/klagomålsmail/A 43747-2024 FSC-klagomål mail.docx", "A 43747-2024")</f>
        <v/>
      </c>
      <c r="AC2">
        <f>HYPERLINK("https://klasma.github.io/Logging_0192/tillsyn/A 43747-2024 tillsynsbegäran.docx", "A 43747-2024")</f>
        <v/>
      </c>
      <c r="AD2">
        <f>HYPERLINK("https://klasma.github.io/Logging_0192/tillsynsmail/A 43747-2024 tillsynsbegäran mail.docx", "A 43747-2024")</f>
        <v/>
      </c>
      <c r="AE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44935</v>
      </c>
      <c r="E3" s="1" t="n">
        <v>46313</v>
      </c>
      <c r="F3" t="inlineStr">
        <is>
          <t>STOCKHOLMS LÄN</t>
        </is>
      </c>
      <c r="G3" t="inlineStr">
        <is>
          <t>NYNÄSHAMN</t>
        </is>
      </c>
      <c r="I3" t="n">
        <v>3.9</v>
      </c>
      <c r="J3" t="n">
        <v>4</v>
      </c>
      <c r="K3" t="n">
        <v>6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10</v>
      </c>
      <c r="T3" t="n">
        <v>16</v>
      </c>
      <c r="U3" t="n">
        <v>15</v>
      </c>
      <c r="V3" s="2" t="inlineStr">
        <is>
          <t>Knärot
Kattfotslav
Sårläka
Grön sköldmossa
Hasselticka
Kornknutmossa
Skogsknipprot
Stor revmossa
Västlig hakmossa
Blåsippa</t>
        </is>
      </c>
      <c r="W3">
        <f>HYPERLINK("https://klasma.github.io/Logging_0192/artfynd/A 1212-2023 artfynd.xlsx", "A 1212-2023")</f>
        <v/>
      </c>
      <c r="X3">
        <f>HYPERLINK("https://klasma.github.io/Logging_0192/kartor/A 1212-2023 karta.png", "A 1212-2023")</f>
        <v/>
      </c>
      <c r="Y3">
        <f>HYPERLINK("https://klasma.github.io/Logging_0192/kartor_geotiff/A 1212-2023 georefererad karta.tif", "A 1212-2023")</f>
        <v/>
      </c>
      <c r="Z3">
        <f>HYPERLINK("https://klasma.github.io/Logging_0192/knärot/A 1212-2023 karta knärot.png", "A 1212-2023")</f>
        <v/>
      </c>
      <c r="AA3">
        <f>HYPERLINK("https://klasma.github.io/Logging_0192/klagomål/A 1212-2023 FSC-klagomål.docx", "A 1212-2023")</f>
        <v/>
      </c>
      <c r="AB3">
        <f>HYPERLINK("https://klasma.github.io/Logging_0192/klagomålsmail/A 1212-2023 FSC-klagomål mail.docx", "A 1212-2023")</f>
        <v/>
      </c>
      <c r="AC3">
        <f>HYPERLINK("https://klasma.github.io/Logging_0192/tillsyn/A 1212-2023 tillsynsbegäran.docx", "A 1212-2023")</f>
        <v/>
      </c>
      <c r="AD3">
        <f>HYPERLINK("https://klasma.github.io/Logging_0192/tillsynsmail/A 1212-2023 tillsynsbegäran mail.docx", "A 1212-2023")</f>
        <v/>
      </c>
    </row>
    <row r="4" ht="15" customHeight="1">
      <c r="A4" t="inlineStr">
        <is>
          <t>A 31142-2023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45113</v>
      </c>
      <c r="E4" s="1" t="n">
        <v>46313</v>
      </c>
      <c r="F4" t="inlineStr">
        <is>
          <t>STOCKHOLMS LÄN</t>
        </is>
      </c>
      <c r="G4" t="inlineStr">
        <is>
          <t>NYNÄSHAMN</t>
        </is>
      </c>
      <c r="I4" t="n">
        <v>5.7</v>
      </c>
      <c r="J4" t="n">
        <v>6</v>
      </c>
      <c r="K4" t="n">
        <v>0</v>
      </c>
      <c r="L4" t="n">
        <v>3</v>
      </c>
      <c r="M4" t="n">
        <v>0</v>
      </c>
      <c r="N4" t="n">
        <v>2</v>
      </c>
      <c r="O4" t="n">
        <v>0</v>
      </c>
      <c r="P4" t="n">
        <v>0</v>
      </c>
      <c r="Q4" t="n">
        <v>5</v>
      </c>
      <c r="R4" t="n">
        <v>2</v>
      </c>
      <c r="S4" t="n">
        <v>9</v>
      </c>
      <c r="T4" t="n">
        <v>9</v>
      </c>
      <c r="U4" t="n">
        <v>0</v>
      </c>
      <c r="V4" s="2" t="inlineStr">
        <is>
          <t>Ask
Skogsalm
Entita
Jungfrulin
Talltita
Gröngöling
Grönsiska
Havsörn
Kungsfågel</t>
        </is>
      </c>
      <c r="W4">
        <f>HYPERLINK("https://klasma.github.io/Logging_0192/artfynd/A 31142-2023 artfynd.xlsx", "A 31142-2023")</f>
        <v/>
      </c>
      <c r="X4">
        <f>HYPERLINK("https://klasma.github.io/Logging_0192/kartor/A 31142-2023 karta.png", "A 31142-2023")</f>
        <v/>
      </c>
      <c r="Y4">
        <f>HYPERLINK("https://klasma.github.io/Logging_0192/kartor_geotiff/A 31142-2023 georefererad karta.tif", "A 31142-2023")</f>
        <v/>
      </c>
      <c r="AA4">
        <f>HYPERLINK("https://klasma.github.io/Logging_0192/klagomål/A 31142-2023 FSC-klagomål.docx", "A 31142-2023")</f>
        <v/>
      </c>
      <c r="AB4">
        <f>HYPERLINK("https://klasma.github.io/Logging_0192/klagomålsmail/A 31142-2023 FSC-klagomål mail.docx", "A 31142-2023")</f>
        <v/>
      </c>
      <c r="AC4">
        <f>HYPERLINK("https://klasma.github.io/Logging_0192/tillsyn/A 31142-2023 tillsynsbegäran.docx", "A 31142-2023")</f>
        <v/>
      </c>
      <c r="AD4">
        <f>HYPERLINK("https://klasma.github.io/Logging_0192/tillsynsmail/A 31142-2023 tillsynsbegäran mail.docx", "A 31142-2023")</f>
        <v/>
      </c>
      <c r="AE4">
        <f>HYPERLINK("https://klasma.github.io/Logging_0192/fåglar/A 31142-2023 prioriterade fågelarter.docx", "A 31142-2023")</f>
        <v/>
      </c>
    </row>
    <row r="5" ht="15" customHeight="1">
      <c r="A5" t="inlineStr">
        <is>
          <t>A 60057-2023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45257</v>
      </c>
      <c r="E5" s="1" t="n">
        <v>46313</v>
      </c>
      <c r="F5" t="inlineStr">
        <is>
          <t>STOCKHOLMS LÄN</t>
        </is>
      </c>
      <c r="G5" t="inlineStr">
        <is>
          <t>NYNÄSHAMN</t>
        </is>
      </c>
      <c r="I5" t="n">
        <v>2.3</v>
      </c>
      <c r="J5" t="n">
        <v>8</v>
      </c>
      <c r="K5" t="n">
        <v>1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9</v>
      </c>
      <c r="T5" t="n">
        <v>9</v>
      </c>
      <c r="U5" t="n">
        <v>1</v>
      </c>
      <c r="V5" s="2" t="inlineStr">
        <is>
          <t>Grönfink
Stare
Björktrast
Ladusvala
Rödvingetrast
Tibast
Havsörn
Trana
Törnskata</t>
        </is>
      </c>
      <c r="W5">
        <f>HYPERLINK("https://klasma.github.io/Logging_0192/artfynd/A 60057-2023 artfynd.xlsx", "A 60057-2023")</f>
        <v/>
      </c>
      <c r="X5">
        <f>HYPERLINK("https://klasma.github.io/Logging_0192/kartor/A 60057-2023 karta.png", "A 60057-2023")</f>
        <v/>
      </c>
      <c r="Y5">
        <f>HYPERLINK("https://klasma.github.io/Logging_0192/kartor_geotiff/A 60057-2023 georefererad karta.tif", "A 60057-2023")</f>
        <v/>
      </c>
      <c r="AA5">
        <f>HYPERLINK("https://klasma.github.io/Logging_0192/klagomål/A 60057-2023 FSC-klagomål.docx", "A 60057-2023")</f>
        <v/>
      </c>
      <c r="AB5">
        <f>HYPERLINK("https://klasma.github.io/Logging_0192/klagomålsmail/A 60057-2023 FSC-klagomål mail.docx", "A 60057-2023")</f>
        <v/>
      </c>
      <c r="AC5">
        <f>HYPERLINK("https://klasma.github.io/Logging_0192/tillsyn/A 60057-2023 tillsynsbegäran.docx", "A 60057-2023")</f>
        <v/>
      </c>
      <c r="AD5">
        <f>HYPERLINK("https://klasma.github.io/Logging_0192/tillsynsmail/A 60057-2023 tillsynsbegäran mail.docx", "A 60057-2023")</f>
        <v/>
      </c>
      <c r="AE5">
        <f>HYPERLINK("https://klasma.github.io/Logging_0192/fåglar/A 60057-2023 prioriterade fågelarter.docx", "A 60057-2023")</f>
        <v/>
      </c>
    </row>
    <row r="6" ht="15" customHeight="1">
      <c r="A6" t="inlineStr">
        <is>
          <t>S 2695-2024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45482</v>
      </c>
      <c r="E6" s="1" t="n">
        <v>46313</v>
      </c>
      <c r="F6" t="inlineStr">
        <is>
          <t>STOCKHOLMS LÄN</t>
        </is>
      </c>
      <c r="G6" t="inlineStr">
        <is>
          <t>NYNÄSHAMN</t>
        </is>
      </c>
      <c r="I6" t="n">
        <v>5.7</v>
      </c>
      <c r="J6" t="n">
        <v>3</v>
      </c>
      <c r="K6" t="n">
        <v>3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15</v>
      </c>
      <c r="U6" t="n">
        <v>3</v>
      </c>
      <c r="V6" s="2" t="inlineStr">
        <is>
          <t>Skogskorn
Blekticka
Svinrot
Hasselsopp
Skogsknipprot
Svart trolldruva
Blåsippa
Gullviva</t>
        </is>
      </c>
      <c r="W6">
        <f>HYPERLINK("https://klasma.github.io/Logging_0192/artfynd/S 2695-2024 artfynd.xlsx", "S 2695-2024")</f>
        <v/>
      </c>
      <c r="X6">
        <f>HYPERLINK("https://klasma.github.io/Logging_0192/kartor/S 2695-2024 karta.png", "S 2695-2024")</f>
        <v/>
      </c>
      <c r="Y6">
        <f>HYPERLINK("https://klasma.github.io/Logging_0192/kartor_geotiff/S 2695-2024 georefererad karta.tif", "S 2695-2024")</f>
        <v/>
      </c>
      <c r="AA6">
        <f>HYPERLINK("https://klasma.github.io/Logging_0192/klagomål/S 2695-2024 FSC-klagomål.docx", "S 2695-2024")</f>
        <v/>
      </c>
      <c r="AB6">
        <f>HYPERLINK("https://klasma.github.io/Logging_0192/klagomålsmail/S 2695-2024 FSC-klagomål mail.docx", "S 2695-2024")</f>
        <v/>
      </c>
      <c r="AC6">
        <f>HYPERLINK("https://klasma.github.io/Logging_0192/tillsyn/S 2695-2024 tillsynsbegäran.docx", "S 2695-2024")</f>
        <v/>
      </c>
      <c r="AD6">
        <f>HYPERLINK("https://klasma.github.io/Logging_0192/tillsynsmail/S 2695-2024 tillsynsbegäran mail.docx", "S 2695-2024")</f>
        <v/>
      </c>
    </row>
    <row r="7" ht="15" customHeight="1">
      <c r="A7" t="inlineStr">
        <is>
          <t>A 34573-2025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45846</v>
      </c>
      <c r="E7" s="1" t="n">
        <v>46313</v>
      </c>
      <c r="F7" t="inlineStr">
        <is>
          <t>STOCKHOLMS LÄN</t>
        </is>
      </c>
      <c r="G7" t="inlineStr">
        <is>
          <t>NYNÄSHAMN</t>
        </is>
      </c>
      <c r="H7" t="inlineStr">
        <is>
          <t>Kommuner</t>
        </is>
      </c>
      <c r="I7" t="n">
        <v>7.3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67</v>
      </c>
      <c r="U7" t="n">
        <v>1</v>
      </c>
      <c r="V7" s="2" t="inlineStr">
        <is>
          <t>Jungfrulin
Noshornsoxe
Skogsknipprot
Dvärgpipistrell
Huggorm
Vanlig snok
Gullviva</t>
        </is>
      </c>
      <c r="W7">
        <f>HYPERLINK("https://klasma.github.io/Logging_0192/artfynd/A 34573-2025 artfynd.xlsx", "A 34573-2025")</f>
        <v/>
      </c>
      <c r="X7">
        <f>HYPERLINK("https://klasma.github.io/Logging_0192/kartor/A 34573-2025 karta.png", "A 34573-2025")</f>
        <v/>
      </c>
      <c r="Y7">
        <f>HYPERLINK("https://klasma.github.io/Logging_0192/kartor_geotiff/A 34573-2025 georefererad karta.tif", "A 34573-2025")</f>
        <v/>
      </c>
      <c r="AA7">
        <f>HYPERLINK("https://klasma.github.io/Logging_0192/klagomål/A 34573-2025 FSC-klagomål.docx", "A 34573-2025")</f>
        <v/>
      </c>
      <c r="AB7">
        <f>HYPERLINK("https://klasma.github.io/Logging_0192/klagomålsmail/A 34573-2025 FSC-klagomål mail.docx", "A 34573-2025")</f>
        <v/>
      </c>
      <c r="AC7">
        <f>HYPERLINK("https://klasma.github.io/Logging_0192/tillsyn/A 34573-2025 tillsynsbegäran.docx", "A 34573-2025")</f>
        <v/>
      </c>
      <c r="AD7">
        <f>HYPERLINK("https://klasma.github.io/Logging_0192/tillsynsmail/A 34573-2025 tillsynsbegäran mail.docx", "A 34573-2025")</f>
        <v/>
      </c>
    </row>
    <row r="8" ht="15" customHeight="1">
      <c r="A8" t="inlineStr">
        <is>
          <t>A 27135-2026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46188</v>
      </c>
      <c r="E8" s="1" t="n">
        <v>46313</v>
      </c>
      <c r="F8" t="inlineStr">
        <is>
          <t>STOCKHOLMS LÄN</t>
        </is>
      </c>
      <c r="G8" t="inlineStr">
        <is>
          <t>NYNÄSHAMN</t>
        </is>
      </c>
      <c r="I8" t="n">
        <v>7.3</v>
      </c>
      <c r="J8" t="n">
        <v>2</v>
      </c>
      <c r="K8" t="n">
        <v>3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16</v>
      </c>
      <c r="U8" t="n">
        <v>0</v>
      </c>
      <c r="V8" s="2" t="inlineStr">
        <is>
          <t>Skogskorn
Jungfrulin
Ängsskära
Myskmadra
Skogsknipprot
Strävlosta
Blåsippa</t>
        </is>
      </c>
      <c r="W8">
        <f>HYPERLINK("https://klasma.github.io/Logging_0192/artfynd/A 27135-2026 artfynd.xlsx", "A 27135-2026")</f>
        <v/>
      </c>
      <c r="X8">
        <f>HYPERLINK("https://klasma.github.io/Logging_0192/kartor/A 27135-2026 karta.png", "A 27135-2026")</f>
        <v/>
      </c>
      <c r="Y8">
        <f>HYPERLINK("https://klasma.github.io/Logging_0192/kartor_geotiff/A 27135-2026 georefererad karta.tif", "A 27135-2026")</f>
        <v/>
      </c>
      <c r="AA8">
        <f>HYPERLINK("https://klasma.github.io/Logging_0192/klagomål/A 27135-2026 FSC-klagomål.docx", "A 27135-2026")</f>
        <v/>
      </c>
      <c r="AB8">
        <f>HYPERLINK("https://klasma.github.io/Logging_0192/klagomålsmail/A 27135-2026 FSC-klagomål mail.docx", "A 27135-2026")</f>
        <v/>
      </c>
      <c r="AC8">
        <f>HYPERLINK("https://klasma.github.io/Logging_0192/tillsyn/A 27135-2026 tillsynsbegäran.docx", "A 27135-2026")</f>
        <v/>
      </c>
      <c r="AD8">
        <f>HYPERLINK("https://klasma.github.io/Logging_0192/tillsynsmail/A 27135-2026 tillsynsbegäran mail.docx", "A 27135-2026")</f>
        <v/>
      </c>
    </row>
    <row r="9" ht="15" customHeight="1">
      <c r="A9" t="inlineStr">
        <is>
          <t>A 18378-2026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46125</v>
      </c>
      <c r="E9" s="1" t="n">
        <v>46313</v>
      </c>
      <c r="F9" t="inlineStr">
        <is>
          <t>STOCKHOLMS LÄN</t>
        </is>
      </c>
      <c r="G9" t="inlineStr">
        <is>
          <t>NYNÄSHAMN</t>
        </is>
      </c>
      <c r="H9" t="inlineStr">
        <is>
          <t>Kommuner</t>
        </is>
      </c>
      <c r="I9" t="n">
        <v>7.5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65</v>
      </c>
      <c r="U9" t="n">
        <v>0</v>
      </c>
      <c r="V9" s="2" t="inlineStr">
        <is>
          <t>Jungfrulin
Noshornsoxe
Skogsknipprot
Dvärgpipistrell
Huggorm
Vanlig snok
Gullviva</t>
        </is>
      </c>
      <c r="W9">
        <f>HYPERLINK("https://klasma.github.io/Logging_0192/artfynd/A 18378-2026 artfynd.xlsx", "A 18378-2026")</f>
        <v/>
      </c>
      <c r="X9">
        <f>HYPERLINK("https://klasma.github.io/Logging_0192/kartor/A 18378-2026 karta.png", "A 18378-2026")</f>
        <v/>
      </c>
      <c r="Y9">
        <f>HYPERLINK("https://klasma.github.io/Logging_0192/kartor_geotiff/A 18378-2026 georefererad karta.tif", "A 18378-2026")</f>
        <v/>
      </c>
      <c r="AA9">
        <f>HYPERLINK("https://klasma.github.io/Logging_0192/klagomål/A 18378-2026 FSC-klagomål.docx", "A 18378-2026")</f>
        <v/>
      </c>
      <c r="AB9">
        <f>HYPERLINK("https://klasma.github.io/Logging_0192/klagomålsmail/A 18378-2026 FSC-klagomål mail.docx", "A 18378-2026")</f>
        <v/>
      </c>
      <c r="AC9">
        <f>HYPERLINK("https://klasma.github.io/Logging_0192/tillsyn/A 18378-2026 tillsynsbegäran.docx", "A 18378-2026")</f>
        <v/>
      </c>
      <c r="AD9">
        <f>HYPERLINK("https://klasma.github.io/Logging_0192/tillsynsmail/A 18378-2026 tillsynsbegäran mail.docx", "A 18378-2026")</f>
        <v/>
      </c>
    </row>
    <row r="10" ht="15" customHeight="1">
      <c r="A10" t="inlineStr">
        <is>
          <t>A 33066-2026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46245</v>
      </c>
      <c r="E10" s="1" t="n">
        <v>46313</v>
      </c>
      <c r="F10" t="inlineStr">
        <is>
          <t>STOCKHOLMS LÄN</t>
        </is>
      </c>
      <c r="G10" t="inlineStr">
        <is>
          <t>NYNÄSHAMN</t>
        </is>
      </c>
      <c r="I10" t="n">
        <v>5.4</v>
      </c>
      <c r="J10" t="n">
        <v>1</v>
      </c>
      <c r="K10" t="n">
        <v>2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Garnlav
Tallticka
Grovticka
Vedticka
Tjäder</t>
        </is>
      </c>
      <c r="W10">
        <f>HYPERLINK("https://klasma.github.io/Logging_0192/artfynd/A 33066-2026 artfynd.xlsx", "A 33066-2026")</f>
        <v/>
      </c>
      <c r="X10">
        <f>HYPERLINK("https://klasma.github.io/Logging_0192/kartor/A 33066-2026 karta.png", "A 33066-2026")</f>
        <v/>
      </c>
      <c r="Y10">
        <f>HYPERLINK("https://klasma.github.io/Logging_0192/kartor_geotiff/A 33066-2026 georefererad karta.tif", "A 33066-2026")</f>
        <v/>
      </c>
      <c r="AA10">
        <f>HYPERLINK("https://klasma.github.io/Logging_0192/klagomål/A 33066-2026 FSC-klagomål.docx", "A 33066-2026")</f>
        <v/>
      </c>
      <c r="AB10">
        <f>HYPERLINK("https://klasma.github.io/Logging_0192/klagomålsmail/A 33066-2026 FSC-klagomål mail.docx", "A 33066-2026")</f>
        <v/>
      </c>
      <c r="AC10">
        <f>HYPERLINK("https://klasma.github.io/Logging_0192/tillsyn/A 33066-2026 tillsynsbegäran.docx", "A 33066-2026")</f>
        <v/>
      </c>
      <c r="AD10">
        <f>HYPERLINK("https://klasma.github.io/Logging_0192/tillsynsmail/A 33066-2026 tillsynsbegäran mail.docx", "A 33066-2026")</f>
        <v/>
      </c>
      <c r="AE10">
        <f>HYPERLINK("https://klasma.github.io/Logging_0192/fåglar/A 33066-2026 prioriterade fågelarter.docx", "A 33066-2026")</f>
        <v/>
      </c>
    </row>
    <row r="11" ht="15" customHeight="1">
      <c r="A11" t="inlineStr">
        <is>
          <t>A 5233-2026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46313</v>
      </c>
      <c r="F11" t="inlineStr">
        <is>
          <t>STOCKHOLMS LÄN</t>
        </is>
      </c>
      <c r="G11" t="inlineStr">
        <is>
          <t>NYNÄSHAMN</t>
        </is>
      </c>
      <c r="I11" t="n">
        <v>9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6</v>
      </c>
      <c r="U11" t="n">
        <v>6</v>
      </c>
      <c r="V11" s="2" t="inlineStr">
        <is>
          <t>Blåsippa
Spillkråka
Kråka
Skogsduva</t>
        </is>
      </c>
      <c r="W11">
        <f>HYPERLINK("https://klasma.github.io/Logging_0192/artfynd/A 5233-2026 artfynd.xlsx", "A 5233-2026")</f>
        <v/>
      </c>
      <c r="X11">
        <f>HYPERLINK("https://klasma.github.io/Logging_0192/kartor/A 5233-2026 karta.png", "A 5233-2026")</f>
        <v/>
      </c>
      <c r="Y11">
        <f>HYPERLINK("https://klasma.github.io/Logging_0192/kartor_geotiff/A 5233-2026 georefererad karta.tif", "A 5233-2026")</f>
        <v/>
      </c>
      <c r="AA11">
        <f>HYPERLINK("https://klasma.github.io/Logging_0192/klagomål/A 5233-2026 FSC-klagomål.docx", "A 5233-2026")</f>
        <v/>
      </c>
      <c r="AB11">
        <f>HYPERLINK("https://klasma.github.io/Logging_0192/klagomålsmail/A 5233-2026 FSC-klagomål mail.docx", "A 5233-2026")</f>
        <v/>
      </c>
      <c r="AC11">
        <f>HYPERLINK("https://klasma.github.io/Logging_0192/tillsyn/A 5233-2026 tillsynsbegäran.docx", "A 5233-2026")</f>
        <v/>
      </c>
      <c r="AD11">
        <f>HYPERLINK("https://klasma.github.io/Logging_0192/tillsynsmail/A 5233-2026 tillsynsbegäran mail.docx", "A 5233-2026")</f>
        <v/>
      </c>
      <c r="AE11">
        <f>HYPERLINK("https://klasma.github.io/Logging_0192/fåglar/A 5233-2026 prioriterade fågelarter.docx", "A 5233-2026")</f>
        <v/>
      </c>
    </row>
    <row r="12" ht="15" customHeight="1">
      <c r="A12" t="inlineStr">
        <is>
          <t>A 52261-2022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44873</v>
      </c>
      <c r="E12" s="1" t="n">
        <v>46313</v>
      </c>
      <c r="F12" t="inlineStr">
        <is>
          <t>STOCKHOLMS LÄN</t>
        </is>
      </c>
      <c r="G12" t="inlineStr">
        <is>
          <t>NYNÄSHAMN</t>
        </is>
      </c>
      <c r="I12" t="n">
        <v>3.8</v>
      </c>
      <c r="J12" t="n">
        <v>1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4</v>
      </c>
      <c r="T12" t="n">
        <v>9</v>
      </c>
      <c r="U12" t="n">
        <v>9</v>
      </c>
      <c r="V12" s="2" t="inlineStr">
        <is>
          <t>Tallticka
Vedskivlav
Hasselticka
Blåsippa</t>
        </is>
      </c>
      <c r="W12">
        <f>HYPERLINK("https://klasma.github.io/Logging_0192/artfynd/A 52261-2022 artfynd.xlsx", "A 52261-2022")</f>
        <v/>
      </c>
      <c r="X12">
        <f>HYPERLINK("https://klasma.github.io/Logging_0192/kartor/A 52261-2022 karta.png", "A 52261-2022")</f>
        <v/>
      </c>
      <c r="Y12">
        <f>HYPERLINK("https://klasma.github.io/Logging_0192/kartor_geotiff/A 52261-2022 georefererad karta.tif", "A 52261-2022")</f>
        <v/>
      </c>
      <c r="AA12">
        <f>HYPERLINK("https://klasma.github.io/Logging_0192/klagomål/A 52261-2022 FSC-klagomål.docx", "A 52261-2022")</f>
        <v/>
      </c>
      <c r="AB12">
        <f>HYPERLINK("https://klasma.github.io/Logging_0192/klagomålsmail/A 52261-2022 FSC-klagomål mail.docx", "A 52261-2022")</f>
        <v/>
      </c>
      <c r="AC12">
        <f>HYPERLINK("https://klasma.github.io/Logging_0192/tillsyn/A 52261-2022 tillsynsbegäran.docx", "A 52261-2022")</f>
        <v/>
      </c>
      <c r="AD12">
        <f>HYPERLINK("https://klasma.github.io/Logging_0192/tillsynsmail/A 52261-2022 tillsynsbegäran mail.docx", "A 52261-2022")</f>
        <v/>
      </c>
    </row>
    <row r="13" ht="15" customHeight="1">
      <c r="A13" t="inlineStr">
        <is>
          <t>S 1862-2026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46198</v>
      </c>
      <c r="E13" s="1" t="n">
        <v>46313</v>
      </c>
      <c r="F13" t="inlineStr">
        <is>
          <t>STOCKHOLMS LÄN</t>
        </is>
      </c>
      <c r="G13" t="inlineStr">
        <is>
          <t>NYNÄSHAMN</t>
        </is>
      </c>
      <c r="I13" t="n">
        <v>2.8</v>
      </c>
      <c r="J13" t="n">
        <v>0</v>
      </c>
      <c r="K13" t="n">
        <v>2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9</v>
      </c>
      <c r="U13" t="n">
        <v>0</v>
      </c>
      <c r="V13" s="2" t="inlineStr">
        <is>
          <t>Skogskorn
Vårärt
Hässleklocka
Strävlosta</t>
        </is>
      </c>
      <c r="W13">
        <f>HYPERLINK("https://klasma.github.io/Logging_0192/artfynd/S 1862-2026 artfynd.xlsx", "S 1862-2026")</f>
        <v/>
      </c>
      <c r="X13">
        <f>HYPERLINK("https://klasma.github.io/Logging_0192/kartor/S 1862-2026 karta.png", "S 1862-2026")</f>
        <v/>
      </c>
      <c r="Y13">
        <f>HYPERLINK("https://klasma.github.io/Logging_0192/kartor_geotiff/S 1862-2026 georefererad karta.tif", "S 1862-2026")</f>
        <v/>
      </c>
      <c r="AA13">
        <f>HYPERLINK("https://klasma.github.io/Logging_0192/klagomål/S 1862-2026 FSC-klagomål.docx", "S 1862-2026")</f>
        <v/>
      </c>
      <c r="AB13">
        <f>HYPERLINK("https://klasma.github.io/Logging_0192/klagomålsmail/S 1862-2026 FSC-klagomål mail.docx", "S 1862-2026")</f>
        <v/>
      </c>
      <c r="AC13">
        <f>HYPERLINK("https://klasma.github.io/Logging_0192/tillsyn/S 1862-2026 tillsynsbegäran.docx", "S 1862-2026")</f>
        <v/>
      </c>
      <c r="AD13">
        <f>HYPERLINK("https://klasma.github.io/Logging_0192/tillsynsmail/S 1862-2026 tillsynsbegäran mail.docx", "S 1862-2026")</f>
        <v/>
      </c>
    </row>
    <row r="14" ht="15" customHeight="1">
      <c r="A14" t="inlineStr">
        <is>
          <t>A 9268-2023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44980</v>
      </c>
      <c r="E14" s="1" t="n">
        <v>46313</v>
      </c>
      <c r="F14" t="inlineStr">
        <is>
          <t>STOCKHOLMS LÄN</t>
        </is>
      </c>
      <c r="G14" t="inlineStr">
        <is>
          <t>NYNÄSHAMN</t>
        </is>
      </c>
      <c r="I14" t="n">
        <v>4.9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3</v>
      </c>
      <c r="V14" s="2" t="inlineStr">
        <is>
          <t>Tallticka
Blodticka
Mindre märgborre</t>
        </is>
      </c>
      <c r="W14">
        <f>HYPERLINK("https://klasma.github.io/Logging_0192/artfynd/A 9268-2023 artfynd.xlsx", "A 9268-2023")</f>
        <v/>
      </c>
      <c r="X14">
        <f>HYPERLINK("https://klasma.github.io/Logging_0192/kartor/A 9268-2023 karta.png", "A 9268-2023")</f>
        <v/>
      </c>
      <c r="Y14">
        <f>HYPERLINK("https://klasma.github.io/Logging_0192/kartor_geotiff/A 9268-2023 georefererad karta.tif", "A 9268-2023")</f>
        <v/>
      </c>
      <c r="AA14">
        <f>HYPERLINK("https://klasma.github.io/Logging_0192/klagomål/A 9268-2023 FSC-klagomål.docx", "A 9268-2023")</f>
        <v/>
      </c>
      <c r="AB14">
        <f>HYPERLINK("https://klasma.github.io/Logging_0192/klagomålsmail/A 9268-2023 FSC-klagomål mail.docx", "A 9268-2023")</f>
        <v/>
      </c>
      <c r="AC14">
        <f>HYPERLINK("https://klasma.github.io/Logging_0192/tillsyn/A 9268-2023 tillsynsbegäran.docx", "A 9268-2023")</f>
        <v/>
      </c>
      <c r="AD14">
        <f>HYPERLINK("https://klasma.github.io/Logging_0192/tillsynsmail/A 9268-2023 tillsynsbegäran mail.docx", "A 9268-2023")</f>
        <v/>
      </c>
    </row>
    <row r="15" ht="15" customHeight="1">
      <c r="A15" t="inlineStr">
        <is>
          <t>A 62013-2023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45266</v>
      </c>
      <c r="E15" s="1" t="n">
        <v>46313</v>
      </c>
      <c r="F15" t="inlineStr">
        <is>
          <t>STOCKHOLMS LÄN</t>
        </is>
      </c>
      <c r="G15" t="inlineStr">
        <is>
          <t>NYNÄSHAMN</t>
        </is>
      </c>
      <c r="I15" t="n">
        <v>1.6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Skogsknipprot
Törnskata
Gullviva</t>
        </is>
      </c>
      <c r="W15">
        <f>HYPERLINK("https://klasma.github.io/Logging_0192/artfynd/A 62013-2023 artfynd.xlsx", "A 62013-2023")</f>
        <v/>
      </c>
      <c r="X15">
        <f>HYPERLINK("https://klasma.github.io/Logging_0192/kartor/A 62013-2023 karta.png", "A 62013-2023")</f>
        <v/>
      </c>
      <c r="Y15">
        <f>HYPERLINK("https://klasma.github.io/Logging_0192/kartor_geotiff/A 62013-2023 georefererad karta.tif", "A 62013-2023")</f>
        <v/>
      </c>
      <c r="AA15">
        <f>HYPERLINK("https://klasma.github.io/Logging_0192/klagomål/A 62013-2023 FSC-klagomål.docx", "A 62013-2023")</f>
        <v/>
      </c>
      <c r="AB15">
        <f>HYPERLINK("https://klasma.github.io/Logging_0192/klagomålsmail/A 62013-2023 FSC-klagomål mail.docx", "A 62013-2023")</f>
        <v/>
      </c>
      <c r="AC15">
        <f>HYPERLINK("https://klasma.github.io/Logging_0192/tillsyn/A 62013-2023 tillsynsbegäran.docx", "A 62013-2023")</f>
        <v/>
      </c>
      <c r="AD15">
        <f>HYPERLINK("https://klasma.github.io/Logging_0192/tillsynsmail/A 62013-2023 tillsynsbegäran mail.docx", "A 62013-2023")</f>
        <v/>
      </c>
      <c r="AE15">
        <f>HYPERLINK("https://klasma.github.io/Logging_0192/fåglar/A 62013-2023 prioriterade fågelarter.docx", "A 62013-2023")</f>
        <v/>
      </c>
    </row>
    <row r="16" ht="15" customHeight="1">
      <c r="A16" t="inlineStr">
        <is>
          <t>A 16309-2022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44670</v>
      </c>
      <c r="E16" s="1" t="n">
        <v>46313</v>
      </c>
      <c r="F16" t="inlineStr">
        <is>
          <t>STOCKHOLMS LÄN</t>
        </is>
      </c>
      <c r="G16" t="inlineStr">
        <is>
          <t>NYNÄSHAMN</t>
        </is>
      </c>
      <c r="I16" t="n">
        <v>7.7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Jungfrulin
Blåsippa
Gullviva</t>
        </is>
      </c>
      <c r="W16">
        <f>HYPERLINK("https://klasma.github.io/Logging_0192/artfynd/A 16309-2022 artfynd.xlsx", "A 16309-2022")</f>
        <v/>
      </c>
      <c r="X16">
        <f>HYPERLINK("https://klasma.github.io/Logging_0192/kartor/A 16309-2022 karta.png", "A 16309-2022")</f>
        <v/>
      </c>
      <c r="Y16">
        <f>HYPERLINK("https://klasma.github.io/Logging_0192/kartor_geotiff/A 16309-2022 georefererad karta.tif", "A 16309-2022")</f>
        <v/>
      </c>
      <c r="AA16">
        <f>HYPERLINK("https://klasma.github.io/Logging_0192/klagomål/A 16309-2022 FSC-klagomål.docx", "A 16309-2022")</f>
        <v/>
      </c>
      <c r="AB16">
        <f>HYPERLINK("https://klasma.github.io/Logging_0192/klagomålsmail/A 16309-2022 FSC-klagomål mail.docx", "A 16309-2022")</f>
        <v/>
      </c>
      <c r="AC16">
        <f>HYPERLINK("https://klasma.github.io/Logging_0192/tillsyn/A 16309-2022 tillsynsbegäran.docx", "A 16309-2022")</f>
        <v/>
      </c>
      <c r="AD16">
        <f>HYPERLINK("https://klasma.github.io/Logging_0192/tillsynsmail/A 16309-2022 tillsynsbegäran mail.docx", "A 16309-2022")</f>
        <v/>
      </c>
    </row>
    <row r="17" ht="15" customHeight="1">
      <c r="A17" t="inlineStr">
        <is>
          <t>A 22716-2025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45789</v>
      </c>
      <c r="E17" s="1" t="n">
        <v>46313</v>
      </c>
      <c r="F17" t="inlineStr">
        <is>
          <t>STOCKHOLMS LÄN</t>
        </is>
      </c>
      <c r="G17" t="inlineStr">
        <is>
          <t>NYNÄSHAMN</t>
        </is>
      </c>
      <c r="H17" t="inlineStr">
        <is>
          <t>Kommuner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0</v>
      </c>
      <c r="V17" s="2" t="inlineStr">
        <is>
          <t>Björksplintborre
Stekelbock
Revlummer</t>
        </is>
      </c>
      <c r="W17">
        <f>HYPERLINK("https://klasma.github.io/Logging_0192/artfynd/A 22716-2025 artfynd.xlsx", "A 22716-2025")</f>
        <v/>
      </c>
      <c r="X17">
        <f>HYPERLINK("https://klasma.github.io/Logging_0192/kartor/A 22716-2025 karta.png", "A 22716-2025")</f>
        <v/>
      </c>
      <c r="Y17">
        <f>HYPERLINK("https://klasma.github.io/Logging_0192/kartor_geotiff/A 22716-2025 georefererad karta.tif", "A 22716-2025")</f>
        <v/>
      </c>
      <c r="AA17">
        <f>HYPERLINK("https://klasma.github.io/Logging_0192/klagomål/A 22716-2025 FSC-klagomål.docx", "A 22716-2025")</f>
        <v/>
      </c>
      <c r="AB17">
        <f>HYPERLINK("https://klasma.github.io/Logging_0192/klagomålsmail/A 22716-2025 FSC-klagomål mail.docx", "A 22716-2025")</f>
        <v/>
      </c>
      <c r="AC17">
        <f>HYPERLINK("https://klasma.github.io/Logging_0192/tillsyn/A 22716-2025 tillsynsbegäran.docx", "A 22716-2025")</f>
        <v/>
      </c>
      <c r="AD17">
        <f>HYPERLINK("https://klasma.github.io/Logging_0192/tillsynsmail/A 22716-2025 tillsynsbegäran mail.docx", "A 22716-2025")</f>
        <v/>
      </c>
    </row>
    <row r="18" ht="15" customHeight="1">
      <c r="A18" t="inlineStr">
        <is>
          <t>A 64189-2023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46313</v>
      </c>
      <c r="F18" t="inlineStr">
        <is>
          <t>STOCKHOLMS LÄN</t>
        </is>
      </c>
      <c r="G18" t="inlineStr">
        <is>
          <t>NYNÄSHAMN</t>
        </is>
      </c>
      <c r="I18" t="n">
        <v>1.5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Blåsippa
Gullviva</t>
        </is>
      </c>
      <c r="W18">
        <f>HYPERLINK("https://klasma.github.io/Logging_0192/artfynd/A 64189-2023 artfynd.xlsx", "A 64189-2023")</f>
        <v/>
      </c>
      <c r="X18">
        <f>HYPERLINK("https://klasma.github.io/Logging_0192/kartor/A 64189-2023 karta.png", "A 64189-2023")</f>
        <v/>
      </c>
      <c r="Y18">
        <f>HYPERLINK("https://klasma.github.io/Logging_0192/kartor_geotiff/A 64189-2023 georefererad karta.tif", "A 64189-2023")</f>
        <v/>
      </c>
      <c r="AA18">
        <f>HYPERLINK("https://klasma.github.io/Logging_0192/klagomål/A 64189-2023 FSC-klagomål.docx", "A 64189-2023")</f>
        <v/>
      </c>
      <c r="AB18">
        <f>HYPERLINK("https://klasma.github.io/Logging_0192/klagomålsmail/A 64189-2023 FSC-klagomål mail.docx", "A 64189-2023")</f>
        <v/>
      </c>
      <c r="AC18">
        <f>HYPERLINK("https://klasma.github.io/Logging_0192/tillsyn/A 64189-2023 tillsynsbegäran.docx", "A 64189-2023")</f>
        <v/>
      </c>
      <c r="AD18">
        <f>HYPERLINK("https://klasma.github.io/Logging_0192/tillsynsmail/A 64189-2023 tillsynsbegäran mail.docx", "A 64189-2023")</f>
        <v/>
      </c>
    </row>
    <row r="19" ht="15" customHeight="1">
      <c r="A19" t="inlineStr">
        <is>
          <t>A 1561-2023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44937</v>
      </c>
      <c r="E19" s="1" t="n">
        <v>46313</v>
      </c>
      <c r="F19" t="inlineStr">
        <is>
          <t>STOCKHOLMS LÄN</t>
        </is>
      </c>
      <c r="G19" t="inlineStr">
        <is>
          <t>NYNÄSHAMN</t>
        </is>
      </c>
      <c r="I19" t="n">
        <v>1.3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5</v>
      </c>
      <c r="U19" t="n">
        <v>5</v>
      </c>
      <c r="V19" s="2" t="inlineStr">
        <is>
          <t>Tallticka
Blåsippa</t>
        </is>
      </c>
      <c r="W19">
        <f>HYPERLINK("https://klasma.github.io/Logging_0192/artfynd/A 1561-2023 artfynd.xlsx", "A 1561-2023")</f>
        <v/>
      </c>
      <c r="X19">
        <f>HYPERLINK("https://klasma.github.io/Logging_0192/kartor/A 1561-2023 karta.png", "A 1561-2023")</f>
        <v/>
      </c>
      <c r="Y19">
        <f>HYPERLINK("https://klasma.github.io/Logging_0192/kartor_geotiff/A 1561-2023 georefererad karta.tif", "A 1561-2023")</f>
        <v/>
      </c>
      <c r="AA19">
        <f>HYPERLINK("https://klasma.github.io/Logging_0192/klagomål/A 1561-2023 FSC-klagomål.docx", "A 1561-2023")</f>
        <v/>
      </c>
      <c r="AB19">
        <f>HYPERLINK("https://klasma.github.io/Logging_0192/klagomålsmail/A 1561-2023 FSC-klagomål mail.docx", "A 1561-2023")</f>
        <v/>
      </c>
      <c r="AC19">
        <f>HYPERLINK("https://klasma.github.io/Logging_0192/tillsyn/A 1561-2023 tillsynsbegäran.docx", "A 1561-2023")</f>
        <v/>
      </c>
      <c r="AD19">
        <f>HYPERLINK("https://klasma.github.io/Logging_0192/tillsynsmail/A 1561-2023 tillsynsbegäran mail.docx", "A 1561-2023")</f>
        <v/>
      </c>
    </row>
    <row r="20" ht="15" customHeight="1">
      <c r="A20" t="inlineStr">
        <is>
          <t>A 10059-2022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44621</v>
      </c>
      <c r="E20" s="1" t="n">
        <v>46313</v>
      </c>
      <c r="F20" t="inlineStr">
        <is>
          <t>STOCKHOLMS LÄN</t>
        </is>
      </c>
      <c r="G20" t="inlineStr">
        <is>
          <t>NYNÄSHAMN</t>
        </is>
      </c>
      <c r="I20" t="n">
        <v>17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1</v>
      </c>
      <c r="V20" s="2" t="inlineStr">
        <is>
          <t>Bolmört
Bollvitmossa</t>
        </is>
      </c>
      <c r="W20">
        <f>HYPERLINK("https://klasma.github.io/Logging_0192/artfynd/A 10059-2022 artfynd.xlsx", "A 10059-2022")</f>
        <v/>
      </c>
      <c r="X20">
        <f>HYPERLINK("https://klasma.github.io/Logging_0192/kartor/A 10059-2022 karta.png", "A 10059-2022")</f>
        <v/>
      </c>
      <c r="Y20">
        <f>HYPERLINK("https://klasma.github.io/Logging_0192/kartor_geotiff/A 10059-2022 georefererad karta.tif", "A 10059-2022")</f>
        <v/>
      </c>
      <c r="AA20">
        <f>HYPERLINK("https://klasma.github.io/Logging_0192/klagomål/A 10059-2022 FSC-klagomål.docx", "A 10059-2022")</f>
        <v/>
      </c>
      <c r="AB20">
        <f>HYPERLINK("https://klasma.github.io/Logging_0192/klagomålsmail/A 10059-2022 FSC-klagomål mail.docx", "A 10059-2022")</f>
        <v/>
      </c>
      <c r="AC20">
        <f>HYPERLINK("https://klasma.github.io/Logging_0192/tillsyn/A 10059-2022 tillsynsbegäran.docx", "A 10059-2022")</f>
        <v/>
      </c>
      <c r="AD20">
        <f>HYPERLINK("https://klasma.github.io/Logging_0192/tillsynsmail/A 10059-2022 tillsynsbegäran mail.docx", "A 10059-2022")</f>
        <v/>
      </c>
    </row>
    <row r="21" ht="15" customHeight="1">
      <c r="A21" t="inlineStr">
        <is>
          <t>A 33528-2023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45131</v>
      </c>
      <c r="E21" s="1" t="n">
        <v>46313</v>
      </c>
      <c r="F21" t="inlineStr">
        <is>
          <t>STOCKHOLMS LÄN</t>
        </is>
      </c>
      <c r="G21" t="inlineStr">
        <is>
          <t>NYNÄSHAMN</t>
        </is>
      </c>
      <c r="I21" t="n">
        <v>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Gullpudra
Strutbräken</t>
        </is>
      </c>
      <c r="W21">
        <f>HYPERLINK("https://klasma.github.io/Logging_0192/artfynd/A 33528-2023 artfynd.xlsx", "A 33528-2023")</f>
        <v/>
      </c>
      <c r="X21">
        <f>HYPERLINK("https://klasma.github.io/Logging_0192/kartor/A 33528-2023 karta.png", "A 33528-2023")</f>
        <v/>
      </c>
      <c r="Y21">
        <f>HYPERLINK("https://klasma.github.io/Logging_0192/kartor_geotiff/A 33528-2023 georefererad karta.tif", "A 33528-2023")</f>
        <v/>
      </c>
      <c r="AA21">
        <f>HYPERLINK("https://klasma.github.io/Logging_0192/klagomål/A 33528-2023 FSC-klagomål.docx", "A 33528-2023")</f>
        <v/>
      </c>
      <c r="AB21">
        <f>HYPERLINK("https://klasma.github.io/Logging_0192/klagomålsmail/A 33528-2023 FSC-klagomål mail.docx", "A 33528-2023")</f>
        <v/>
      </c>
      <c r="AC21">
        <f>HYPERLINK("https://klasma.github.io/Logging_0192/tillsyn/A 33528-2023 tillsynsbegäran.docx", "A 33528-2023")</f>
        <v/>
      </c>
      <c r="AD21">
        <f>HYPERLINK("https://klasma.github.io/Logging_0192/tillsynsmail/A 33528-2023 tillsynsbegäran mail.docx", "A 33528-2023")</f>
        <v/>
      </c>
    </row>
    <row r="22" ht="15" customHeight="1">
      <c r="A22" t="inlineStr">
        <is>
          <t>A 49523-2023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46313</v>
      </c>
      <c r="F22" t="inlineStr">
        <is>
          <t>STOCKHOLMS LÄN</t>
        </is>
      </c>
      <c r="G22" t="inlineStr">
        <is>
          <t>NYNÄSHAMN</t>
        </is>
      </c>
      <c r="I22" t="n">
        <v>2.2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Grönpyrola
Västlig hakmossa</t>
        </is>
      </c>
      <c r="W22">
        <f>HYPERLINK("https://klasma.github.io/Logging_0192/artfynd/A 49523-2023 artfynd.xlsx", "A 49523-2023")</f>
        <v/>
      </c>
      <c r="X22">
        <f>HYPERLINK("https://klasma.github.io/Logging_0192/kartor/A 49523-2023 karta.png", "A 49523-2023")</f>
        <v/>
      </c>
      <c r="Y22">
        <f>HYPERLINK("https://klasma.github.io/Logging_0192/kartor_geotiff/A 49523-2023 georefererad karta.tif", "A 49523-2023")</f>
        <v/>
      </c>
      <c r="AA22">
        <f>HYPERLINK("https://klasma.github.io/Logging_0192/klagomål/A 49523-2023 FSC-klagomål.docx", "A 49523-2023")</f>
        <v/>
      </c>
      <c r="AB22">
        <f>HYPERLINK("https://klasma.github.io/Logging_0192/klagomålsmail/A 49523-2023 FSC-klagomål mail.docx", "A 49523-2023")</f>
        <v/>
      </c>
      <c r="AC22">
        <f>HYPERLINK("https://klasma.github.io/Logging_0192/tillsyn/A 49523-2023 tillsynsbegäran.docx", "A 49523-2023")</f>
        <v/>
      </c>
      <c r="AD22">
        <f>HYPERLINK("https://klasma.github.io/Logging_0192/tillsynsmail/A 49523-2023 tillsynsbegäran mail.docx", "A 49523-2023")</f>
        <v/>
      </c>
    </row>
    <row r="23" ht="15" customHeight="1">
      <c r="A23" t="inlineStr">
        <is>
          <t>A 5567-2023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46313</v>
      </c>
      <c r="F23" t="inlineStr">
        <is>
          <t>STOCKHOLMS LÄN</t>
        </is>
      </c>
      <c r="G23" t="inlineStr">
        <is>
          <t>NYNÄSHAMN</t>
        </is>
      </c>
      <c r="I23" t="n">
        <v>10.1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Sårläka
Blåsippa</t>
        </is>
      </c>
      <c r="W23">
        <f>HYPERLINK("https://klasma.github.io/Logging_0192/artfynd/A 5567-2023 artfynd.xlsx", "A 5567-2023")</f>
        <v/>
      </c>
      <c r="X23">
        <f>HYPERLINK("https://klasma.github.io/Logging_0192/kartor/A 5567-2023 karta.png", "A 5567-2023")</f>
        <v/>
      </c>
      <c r="Y23">
        <f>HYPERLINK("https://klasma.github.io/Logging_0192/kartor_geotiff/A 5567-2023 georefererad karta.tif", "A 5567-2023")</f>
        <v/>
      </c>
      <c r="AA23">
        <f>HYPERLINK("https://klasma.github.io/Logging_0192/klagomål/A 5567-2023 FSC-klagomål.docx", "A 5567-2023")</f>
        <v/>
      </c>
      <c r="AB23">
        <f>HYPERLINK("https://klasma.github.io/Logging_0192/klagomålsmail/A 5567-2023 FSC-klagomål mail.docx", "A 5567-2023")</f>
        <v/>
      </c>
      <c r="AC23">
        <f>HYPERLINK("https://klasma.github.io/Logging_0192/tillsyn/A 5567-2023 tillsynsbegäran.docx", "A 5567-2023")</f>
        <v/>
      </c>
      <c r="AD23">
        <f>HYPERLINK("https://klasma.github.io/Logging_0192/tillsynsmail/A 5567-2023 tillsynsbegäran mail.docx", "A 5567-2023")</f>
        <v/>
      </c>
    </row>
    <row r="24" ht="15" customHeight="1">
      <c r="A24" t="inlineStr">
        <is>
          <t>A 12033-2026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46085</v>
      </c>
      <c r="E24" s="1" t="n">
        <v>46313</v>
      </c>
      <c r="F24" t="inlineStr">
        <is>
          <t>STOCKHOLMS LÄN</t>
        </is>
      </c>
      <c r="G24" t="inlineStr">
        <is>
          <t>NYNÄSHAMN</t>
        </is>
      </c>
      <c r="I24" t="n">
        <v>2.4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Fjällvråk
Havsörn</t>
        </is>
      </c>
      <c r="W24">
        <f>HYPERLINK("https://klasma.github.io/Logging_0192/artfynd/A 12033-2026 artfynd.xlsx", "A 12033-2026")</f>
        <v/>
      </c>
      <c r="X24">
        <f>HYPERLINK("https://klasma.github.io/Logging_0192/kartor/A 12033-2026 karta.png", "A 12033-2026")</f>
        <v/>
      </c>
      <c r="Y24">
        <f>HYPERLINK("https://klasma.github.io/Logging_0192/kartor_geotiff/A 12033-2026 georefererad karta.tif", "A 12033-2026")</f>
        <v/>
      </c>
      <c r="AA24">
        <f>HYPERLINK("https://klasma.github.io/Logging_0192/klagomål/A 12033-2026 FSC-klagomål.docx", "A 12033-2026")</f>
        <v/>
      </c>
      <c r="AB24">
        <f>HYPERLINK("https://klasma.github.io/Logging_0192/klagomålsmail/A 12033-2026 FSC-klagomål mail.docx", "A 12033-2026")</f>
        <v/>
      </c>
      <c r="AC24">
        <f>HYPERLINK("https://klasma.github.io/Logging_0192/tillsyn/A 12033-2026 tillsynsbegäran.docx", "A 12033-2026")</f>
        <v/>
      </c>
      <c r="AD24">
        <f>HYPERLINK("https://klasma.github.io/Logging_0192/tillsynsmail/A 12033-2026 tillsynsbegäran mail.docx", "A 12033-2026")</f>
        <v/>
      </c>
      <c r="AE24">
        <f>HYPERLINK("https://klasma.github.io/Logging_0192/fåglar/A 12033-2026 prioriterade fågelarter.docx", "A 12033-2026")</f>
        <v/>
      </c>
    </row>
    <row r="25" ht="15" customHeight="1">
      <c r="A25" t="inlineStr">
        <is>
          <t>A 47093-2023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45196</v>
      </c>
      <c r="E25" s="1" t="n">
        <v>46313</v>
      </c>
      <c r="F25" t="inlineStr">
        <is>
          <t>STOCKHOLMS LÄN</t>
        </is>
      </c>
      <c r="G25" t="inlineStr">
        <is>
          <t>NYNÄSHAMN</t>
        </is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Hasselticka
Myskmadra</t>
        </is>
      </c>
      <c r="W25">
        <f>HYPERLINK("https://klasma.github.io/Logging_0192/artfynd/A 47093-2023 artfynd.xlsx", "A 47093-2023")</f>
        <v/>
      </c>
      <c r="X25">
        <f>HYPERLINK("https://klasma.github.io/Logging_0192/kartor/A 47093-2023 karta.png", "A 47093-2023")</f>
        <v/>
      </c>
      <c r="Y25">
        <f>HYPERLINK("https://klasma.github.io/Logging_0192/kartor_geotiff/A 47093-2023 georefererad karta.tif", "A 47093-2023")</f>
        <v/>
      </c>
      <c r="AA25">
        <f>HYPERLINK("https://klasma.github.io/Logging_0192/klagomål/A 47093-2023 FSC-klagomål.docx", "A 47093-2023")</f>
        <v/>
      </c>
      <c r="AB25">
        <f>HYPERLINK("https://klasma.github.io/Logging_0192/klagomålsmail/A 47093-2023 FSC-klagomål mail.docx", "A 47093-2023")</f>
        <v/>
      </c>
      <c r="AC25">
        <f>HYPERLINK("https://klasma.github.io/Logging_0192/tillsyn/A 47093-2023 tillsynsbegäran.docx", "A 47093-2023")</f>
        <v/>
      </c>
      <c r="AD25">
        <f>HYPERLINK("https://klasma.github.io/Logging_0192/tillsynsmail/A 47093-2023 tillsynsbegäran mail.docx", "A 47093-2023")</f>
        <v/>
      </c>
    </row>
    <row r="26" ht="15" customHeight="1">
      <c r="A26" t="inlineStr">
        <is>
          <t>A 8939-2023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44979</v>
      </c>
      <c r="E26" s="1" t="n">
        <v>46313</v>
      </c>
      <c r="F26" t="inlineStr">
        <is>
          <t>STOCKHOLMS LÄN</t>
        </is>
      </c>
      <c r="G26" t="inlineStr">
        <is>
          <t>NYNÄSHAMN</t>
        </is>
      </c>
      <c r="I26" t="n">
        <v>2.7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Gullpudra
Strutbräken</t>
        </is>
      </c>
      <c r="W26">
        <f>HYPERLINK("https://klasma.github.io/Logging_0192/artfynd/A 8939-2023 artfynd.xlsx", "A 8939-2023")</f>
        <v/>
      </c>
      <c r="X26">
        <f>HYPERLINK("https://klasma.github.io/Logging_0192/kartor/A 8939-2023 karta.png", "A 8939-2023")</f>
        <v/>
      </c>
      <c r="Y26">
        <f>HYPERLINK("https://klasma.github.io/Logging_0192/kartor_geotiff/A 8939-2023 georefererad karta.tif", "A 8939-2023")</f>
        <v/>
      </c>
      <c r="AA26">
        <f>HYPERLINK("https://klasma.github.io/Logging_0192/klagomål/A 8939-2023 FSC-klagomål.docx", "A 8939-2023")</f>
        <v/>
      </c>
      <c r="AB26">
        <f>HYPERLINK("https://klasma.github.io/Logging_0192/klagomålsmail/A 8939-2023 FSC-klagomål mail.docx", "A 8939-2023")</f>
        <v/>
      </c>
      <c r="AC26">
        <f>HYPERLINK("https://klasma.github.io/Logging_0192/tillsyn/A 8939-2023 tillsynsbegäran.docx", "A 8939-2023")</f>
        <v/>
      </c>
      <c r="AD26">
        <f>HYPERLINK("https://klasma.github.io/Logging_0192/tillsynsmail/A 8939-2023 tillsynsbegäran mail.docx", "A 8939-2023")</f>
        <v/>
      </c>
    </row>
    <row r="27" ht="15" customHeight="1">
      <c r="A27" t="inlineStr">
        <is>
          <t>A 27748-2023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45098</v>
      </c>
      <c r="E27" s="1" t="n">
        <v>46313</v>
      </c>
      <c r="F27" t="inlineStr">
        <is>
          <t>STOCKHOLMS LÄN</t>
        </is>
      </c>
      <c r="G27" t="inlineStr">
        <is>
          <t>NYNÄSHAMN</t>
        </is>
      </c>
      <c r="I27" t="n">
        <v>1.2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Ekoxe</t>
        </is>
      </c>
      <c r="W27">
        <f>HYPERLINK("https://klasma.github.io/Logging_0192/artfynd/A 27748-2023 artfynd.xlsx", "A 27748-2023")</f>
        <v/>
      </c>
      <c r="X27">
        <f>HYPERLINK("https://klasma.github.io/Logging_0192/kartor/A 27748-2023 karta.png", "A 27748-2023")</f>
        <v/>
      </c>
      <c r="Y27">
        <f>HYPERLINK("https://klasma.github.io/Logging_0192/kartor_geotiff/A 27748-2023 georefererad karta.tif", "A 27748-2023")</f>
        <v/>
      </c>
      <c r="AA27">
        <f>HYPERLINK("https://klasma.github.io/Logging_0192/klagomål/A 27748-2023 FSC-klagomål.docx", "A 27748-2023")</f>
        <v/>
      </c>
      <c r="AB27">
        <f>HYPERLINK("https://klasma.github.io/Logging_0192/klagomålsmail/A 27748-2023 FSC-klagomål mail.docx", "A 27748-2023")</f>
        <v/>
      </c>
      <c r="AC27">
        <f>HYPERLINK("https://klasma.github.io/Logging_0192/tillsyn/A 27748-2023 tillsynsbegäran.docx", "A 27748-2023")</f>
        <v/>
      </c>
      <c r="AD27">
        <f>HYPERLINK("https://klasma.github.io/Logging_0192/tillsynsmail/A 27748-2023 tillsynsbegäran mail.docx", "A 27748-2023")</f>
        <v/>
      </c>
    </row>
    <row r="28" ht="15" customHeight="1">
      <c r="A28" t="inlineStr">
        <is>
          <t>A 31842-2023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45118</v>
      </c>
      <c r="E28" s="1" t="n">
        <v>46313</v>
      </c>
      <c r="F28" t="inlineStr">
        <is>
          <t>STOCKHOLMS LÄN</t>
        </is>
      </c>
      <c r="G28" t="inlineStr">
        <is>
          <t>NYNÄSHAMN</t>
        </is>
      </c>
      <c r="H28" t="inlineStr">
        <is>
          <t>Kommuner</t>
        </is>
      </c>
      <c r="I28" t="n">
        <v>3.8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2</v>
      </c>
      <c r="V28" s="2" t="inlineStr">
        <is>
          <t>Grön sköldmossa</t>
        </is>
      </c>
      <c r="W28">
        <f>HYPERLINK("https://klasma.github.io/Logging_0192/artfynd/A 31842-2023 artfynd.xlsx", "A 31842-2023")</f>
        <v/>
      </c>
      <c r="X28">
        <f>HYPERLINK("https://klasma.github.io/Logging_0192/kartor/A 31842-2023 karta.png", "A 31842-2023")</f>
        <v/>
      </c>
      <c r="Y28">
        <f>HYPERLINK("https://klasma.github.io/Logging_0192/kartor_geotiff/A 31842-2023 georefererad karta.tif", "A 31842-2023")</f>
        <v/>
      </c>
      <c r="AA28">
        <f>HYPERLINK("https://klasma.github.io/Logging_0192/klagomål/A 31842-2023 FSC-klagomål.docx", "A 31842-2023")</f>
        <v/>
      </c>
      <c r="AB28">
        <f>HYPERLINK("https://klasma.github.io/Logging_0192/klagomålsmail/A 31842-2023 FSC-klagomål mail.docx", "A 31842-2023")</f>
        <v/>
      </c>
      <c r="AC28">
        <f>HYPERLINK("https://klasma.github.io/Logging_0192/tillsyn/A 31842-2023 tillsynsbegäran.docx", "A 31842-2023")</f>
        <v/>
      </c>
      <c r="AD28">
        <f>HYPERLINK("https://klasma.github.io/Logging_0192/tillsynsmail/A 31842-2023 tillsynsbegäran mail.docx", "A 31842-2023")</f>
        <v/>
      </c>
    </row>
    <row r="29" ht="15" customHeight="1">
      <c r="A29" t="inlineStr">
        <is>
          <t>A 32092-2023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45119</v>
      </c>
      <c r="E29" s="1" t="n">
        <v>46313</v>
      </c>
      <c r="F29" t="inlineStr">
        <is>
          <t>STOCKHOLMS LÄN</t>
        </is>
      </c>
      <c r="G29" t="inlineStr">
        <is>
          <t>NYNÄSHAMN</t>
        </is>
      </c>
      <c r="H29" t="inlineStr">
        <is>
          <t>Kommuner</t>
        </is>
      </c>
      <c r="I29" t="n">
        <v>12.4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Skärmstarr</t>
        </is>
      </c>
      <c r="W29">
        <f>HYPERLINK("https://klasma.github.io/Logging_0192/artfynd/A 32092-2023 artfynd.xlsx", "A 32092-2023")</f>
        <v/>
      </c>
      <c r="X29">
        <f>HYPERLINK("https://klasma.github.io/Logging_0192/kartor/A 32092-2023 karta.png", "A 32092-2023")</f>
        <v/>
      </c>
      <c r="Y29">
        <f>HYPERLINK("https://klasma.github.io/Logging_0192/kartor_geotiff/A 32092-2023 georefererad karta.tif", "A 32092-2023")</f>
        <v/>
      </c>
      <c r="AA29">
        <f>HYPERLINK("https://klasma.github.io/Logging_0192/klagomål/A 32092-2023 FSC-klagomål.docx", "A 32092-2023")</f>
        <v/>
      </c>
      <c r="AB29">
        <f>HYPERLINK("https://klasma.github.io/Logging_0192/klagomålsmail/A 32092-2023 FSC-klagomål mail.docx", "A 32092-2023")</f>
        <v/>
      </c>
      <c r="AC29">
        <f>HYPERLINK("https://klasma.github.io/Logging_0192/tillsyn/A 32092-2023 tillsynsbegäran.docx", "A 32092-2023")</f>
        <v/>
      </c>
      <c r="AD29">
        <f>HYPERLINK("https://klasma.github.io/Logging_0192/tillsynsmail/A 32092-2023 tillsynsbegäran mail.docx", "A 32092-2023")</f>
        <v/>
      </c>
    </row>
    <row r="30" ht="15" customHeight="1">
      <c r="A30" t="inlineStr">
        <is>
          <t>A 64196-2023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45279</v>
      </c>
      <c r="E30" s="1" t="n">
        <v>46313</v>
      </c>
      <c r="F30" t="inlineStr">
        <is>
          <t>STOCKHOLMS LÄN</t>
        </is>
      </c>
      <c r="G30" t="inlineStr">
        <is>
          <t>NYNÄSHAMN</t>
        </is>
      </c>
      <c r="I30" t="n">
        <v>2.1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2</v>
      </c>
      <c r="U30" t="n">
        <v>2</v>
      </c>
      <c r="V30" s="2" t="inlineStr">
        <is>
          <t>Revlummer</t>
        </is>
      </c>
      <c r="W30">
        <f>HYPERLINK("https://klasma.github.io/Logging_0192/artfynd/A 64196-2023 artfynd.xlsx", "A 64196-2023")</f>
        <v/>
      </c>
      <c r="X30">
        <f>HYPERLINK("https://klasma.github.io/Logging_0192/kartor/A 64196-2023 karta.png", "A 64196-2023")</f>
        <v/>
      </c>
      <c r="Y30">
        <f>HYPERLINK("https://klasma.github.io/Logging_0192/kartor_geotiff/A 64196-2023 georefererad karta.tif", "A 64196-2023")</f>
        <v/>
      </c>
      <c r="AA30">
        <f>HYPERLINK("https://klasma.github.io/Logging_0192/klagomål/A 64196-2023 FSC-klagomål.docx", "A 64196-2023")</f>
        <v/>
      </c>
      <c r="AB30">
        <f>HYPERLINK("https://klasma.github.io/Logging_0192/klagomålsmail/A 64196-2023 FSC-klagomål mail.docx", "A 64196-2023")</f>
        <v/>
      </c>
      <c r="AC30">
        <f>HYPERLINK("https://klasma.github.io/Logging_0192/tillsyn/A 64196-2023 tillsynsbegäran.docx", "A 64196-2023")</f>
        <v/>
      </c>
      <c r="AD30">
        <f>HYPERLINK("https://klasma.github.io/Logging_0192/tillsynsmail/A 64196-2023 tillsynsbegäran mail.docx", "A 64196-2023")</f>
        <v/>
      </c>
    </row>
    <row r="31" ht="15" customHeight="1">
      <c r="A31" t="inlineStr">
        <is>
          <t>A 32074-2023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45119</v>
      </c>
      <c r="E31" s="1" t="n">
        <v>46313</v>
      </c>
      <c r="F31" t="inlineStr">
        <is>
          <t>STOCKHOLMS LÄN</t>
        </is>
      </c>
      <c r="G31" t="inlineStr">
        <is>
          <t>NYNÄSHAMN</t>
        </is>
      </c>
      <c r="H31" t="inlineStr">
        <is>
          <t>Kommuner</t>
        </is>
      </c>
      <c r="I31" t="n">
        <v>13.1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Grå kantarell</t>
        </is>
      </c>
      <c r="W31">
        <f>HYPERLINK("https://klasma.github.io/Logging_0192/artfynd/A 32074-2023 artfynd.xlsx", "A 32074-2023")</f>
        <v/>
      </c>
      <c r="X31">
        <f>HYPERLINK("https://klasma.github.io/Logging_0192/kartor/A 32074-2023 karta.png", "A 32074-2023")</f>
        <v/>
      </c>
      <c r="Y31">
        <f>HYPERLINK("https://klasma.github.io/Logging_0192/kartor_geotiff/A 32074-2023 georefererad karta.tif", "A 32074-2023")</f>
        <v/>
      </c>
      <c r="AA31">
        <f>HYPERLINK("https://klasma.github.io/Logging_0192/klagomål/A 32074-2023 FSC-klagomål.docx", "A 32074-2023")</f>
        <v/>
      </c>
      <c r="AB31">
        <f>HYPERLINK("https://klasma.github.io/Logging_0192/klagomålsmail/A 32074-2023 FSC-klagomål mail.docx", "A 32074-2023")</f>
        <v/>
      </c>
      <c r="AC31">
        <f>HYPERLINK("https://klasma.github.io/Logging_0192/tillsyn/A 32074-2023 tillsynsbegäran.docx", "A 32074-2023")</f>
        <v/>
      </c>
      <c r="AD31">
        <f>HYPERLINK("https://klasma.github.io/Logging_0192/tillsynsmail/A 32074-2023 tillsynsbegäran mail.docx", "A 32074-2023")</f>
        <v/>
      </c>
    </row>
    <row r="32" ht="15" customHeight="1">
      <c r="A32" t="inlineStr">
        <is>
          <t>A 9017-2023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44979</v>
      </c>
      <c r="E32" s="1" t="n">
        <v>46313</v>
      </c>
      <c r="F32" t="inlineStr">
        <is>
          <t>STOCKHOLMS LÄN</t>
        </is>
      </c>
      <c r="G32" t="inlineStr">
        <is>
          <t>NYNÄSHAMN</t>
        </is>
      </c>
      <c r="H32" t="inlineStr">
        <is>
          <t>Kommuner</t>
        </is>
      </c>
      <c r="I32" t="n">
        <v>2.7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Tofsvipa</t>
        </is>
      </c>
      <c r="W32">
        <f>HYPERLINK("https://klasma.github.io/Logging_0192/artfynd/A 9017-2023 artfynd.xlsx", "A 9017-2023")</f>
        <v/>
      </c>
      <c r="X32">
        <f>HYPERLINK("https://klasma.github.io/Logging_0192/kartor/A 9017-2023 karta.png", "A 9017-2023")</f>
        <v/>
      </c>
      <c r="Y32">
        <f>HYPERLINK("https://klasma.github.io/Logging_0192/kartor_geotiff/A 9017-2023 georefererad karta.tif", "A 9017-2023")</f>
        <v/>
      </c>
      <c r="AA32">
        <f>HYPERLINK("https://klasma.github.io/Logging_0192/klagomål/A 9017-2023 FSC-klagomål.docx", "A 9017-2023")</f>
        <v/>
      </c>
      <c r="AB32">
        <f>HYPERLINK("https://klasma.github.io/Logging_0192/klagomålsmail/A 9017-2023 FSC-klagomål mail.docx", "A 9017-2023")</f>
        <v/>
      </c>
      <c r="AC32">
        <f>HYPERLINK("https://klasma.github.io/Logging_0192/tillsyn/A 9017-2023 tillsynsbegäran.docx", "A 9017-2023")</f>
        <v/>
      </c>
      <c r="AD32">
        <f>HYPERLINK("https://klasma.github.io/Logging_0192/tillsynsmail/A 9017-2023 tillsynsbegäran mail.docx", "A 9017-2023")</f>
        <v/>
      </c>
    </row>
    <row r="33" ht="15" customHeight="1">
      <c r="A33" t="inlineStr">
        <is>
          <t>A 40895-2024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45558</v>
      </c>
      <c r="E33" s="1" t="n">
        <v>46313</v>
      </c>
      <c r="F33" t="inlineStr">
        <is>
          <t>STOCKHOLMS LÄN</t>
        </is>
      </c>
      <c r="G33" t="inlineStr">
        <is>
          <t>NYNÄSHAMN</t>
        </is>
      </c>
      <c r="I33" t="n">
        <v>3.7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Stubbspretmossa</t>
        </is>
      </c>
      <c r="W33">
        <f>HYPERLINK("https://klasma.github.io/Logging_0192/artfynd/A 40895-2024 artfynd.xlsx", "A 40895-2024")</f>
        <v/>
      </c>
      <c r="X33">
        <f>HYPERLINK("https://klasma.github.io/Logging_0192/kartor/A 40895-2024 karta.png", "A 40895-2024")</f>
        <v/>
      </c>
      <c r="Y33">
        <f>HYPERLINK("https://klasma.github.io/Logging_0192/kartor_geotiff/A 40895-2024 georefererad karta.tif", "A 40895-2024")</f>
        <v/>
      </c>
      <c r="AA33">
        <f>HYPERLINK("https://klasma.github.io/Logging_0192/klagomål/A 40895-2024 FSC-klagomål.docx", "A 40895-2024")</f>
        <v/>
      </c>
      <c r="AB33">
        <f>HYPERLINK("https://klasma.github.io/Logging_0192/klagomålsmail/A 40895-2024 FSC-klagomål mail.docx", "A 40895-2024")</f>
        <v/>
      </c>
      <c r="AC33">
        <f>HYPERLINK("https://klasma.github.io/Logging_0192/tillsyn/A 40895-2024 tillsynsbegäran.docx", "A 40895-2024")</f>
        <v/>
      </c>
      <c r="AD33">
        <f>HYPERLINK("https://klasma.github.io/Logging_0192/tillsynsmail/A 40895-2024 tillsynsbegäran mail.docx", "A 40895-2024")</f>
        <v/>
      </c>
    </row>
    <row r="34" ht="15" customHeight="1">
      <c r="A34" t="inlineStr">
        <is>
          <t>A 32011-2023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45119</v>
      </c>
      <c r="E34" s="1" t="n">
        <v>46313</v>
      </c>
      <c r="F34" t="inlineStr">
        <is>
          <t>STOCKHOLMS LÄN</t>
        </is>
      </c>
      <c r="G34" t="inlineStr">
        <is>
          <t>NYNÄSHAMN</t>
        </is>
      </c>
      <c r="H34" t="inlineStr">
        <is>
          <t>Kommuner</t>
        </is>
      </c>
      <c r="I34" t="n">
        <v>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Fiskgjuse</t>
        </is>
      </c>
      <c r="W34">
        <f>HYPERLINK("https://klasma.github.io/Logging_0192/artfynd/A 32011-2023 artfynd.xlsx", "A 32011-2023")</f>
        <v/>
      </c>
      <c r="X34">
        <f>HYPERLINK("https://klasma.github.io/Logging_0192/kartor/A 32011-2023 karta.png", "A 32011-2023")</f>
        <v/>
      </c>
      <c r="Y34">
        <f>HYPERLINK("https://klasma.github.io/Logging_0192/kartor_geotiff/A 32011-2023 georefererad karta.tif", "A 32011-2023")</f>
        <v/>
      </c>
      <c r="AA34">
        <f>HYPERLINK("https://klasma.github.io/Logging_0192/klagomål/A 32011-2023 FSC-klagomål.docx", "A 32011-2023")</f>
        <v/>
      </c>
      <c r="AB34">
        <f>HYPERLINK("https://klasma.github.io/Logging_0192/klagomålsmail/A 32011-2023 FSC-klagomål mail.docx", "A 32011-2023")</f>
        <v/>
      </c>
      <c r="AC34">
        <f>HYPERLINK("https://klasma.github.io/Logging_0192/tillsyn/A 32011-2023 tillsynsbegäran.docx", "A 32011-2023")</f>
        <v/>
      </c>
      <c r="AD34">
        <f>HYPERLINK("https://klasma.github.io/Logging_0192/tillsynsmail/A 32011-2023 tillsynsbegäran mail.docx", "A 32011-2023")</f>
        <v/>
      </c>
      <c r="AE34">
        <f>HYPERLINK("https://klasma.github.io/Logging_0192/fåglar/A 32011-2023 prioriterade fågelarter.docx", "A 32011-2023")</f>
        <v/>
      </c>
    </row>
    <row r="35" ht="15" customHeight="1">
      <c r="A35" t="inlineStr">
        <is>
          <t>A 62634-2022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44917</v>
      </c>
      <c r="E35" s="1" t="n">
        <v>46313</v>
      </c>
      <c r="F35" t="inlineStr">
        <is>
          <t>STOCKHOLMS LÄN</t>
        </is>
      </c>
      <c r="G35" t="inlineStr">
        <is>
          <t>NYNÄSHAMN</t>
        </is>
      </c>
      <c r="I35" t="n">
        <v>15.8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Vanlig padda</t>
        </is>
      </c>
      <c r="W35">
        <f>HYPERLINK("https://klasma.github.io/Logging_0192/artfynd/A 62634-2022 artfynd.xlsx", "A 62634-2022")</f>
        <v/>
      </c>
      <c r="X35">
        <f>HYPERLINK("https://klasma.github.io/Logging_0192/kartor/A 62634-2022 karta.png", "A 62634-2022")</f>
        <v/>
      </c>
      <c r="Y35">
        <f>HYPERLINK("https://klasma.github.io/Logging_0192/kartor_geotiff/A 62634-2022 georefererad karta.tif", "A 62634-2022")</f>
        <v/>
      </c>
      <c r="AA35">
        <f>HYPERLINK("https://klasma.github.io/Logging_0192/klagomål/A 62634-2022 FSC-klagomål.docx", "A 62634-2022")</f>
        <v/>
      </c>
      <c r="AB35">
        <f>HYPERLINK("https://klasma.github.io/Logging_0192/klagomålsmail/A 62634-2022 FSC-klagomål mail.docx", "A 62634-2022")</f>
        <v/>
      </c>
      <c r="AC35">
        <f>HYPERLINK("https://klasma.github.io/Logging_0192/tillsyn/A 62634-2022 tillsynsbegäran.docx", "A 62634-2022")</f>
        <v/>
      </c>
      <c r="AD35">
        <f>HYPERLINK("https://klasma.github.io/Logging_0192/tillsynsmail/A 62634-2022 tillsynsbegäran mail.docx", "A 62634-2022")</f>
        <v/>
      </c>
    </row>
    <row r="36" ht="15" customHeight="1">
      <c r="A36" t="inlineStr">
        <is>
          <t>A 6435-2023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44965</v>
      </c>
      <c r="E36" s="1" t="n">
        <v>46313</v>
      </c>
      <c r="F36" t="inlineStr">
        <is>
          <t>STOCKHOLMS LÄN</t>
        </is>
      </c>
      <c r="G36" t="inlineStr">
        <is>
          <t>NYNÄSHAMN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Tallticka</t>
        </is>
      </c>
      <c r="W36">
        <f>HYPERLINK("https://klasma.github.io/Logging_0192/artfynd/A 6435-2023 artfynd.xlsx", "A 6435-2023")</f>
        <v/>
      </c>
      <c r="X36">
        <f>HYPERLINK("https://klasma.github.io/Logging_0192/kartor/A 6435-2023 karta.png", "A 6435-2023")</f>
        <v/>
      </c>
      <c r="Y36">
        <f>HYPERLINK("https://klasma.github.io/Logging_0192/kartor_geotiff/A 6435-2023 georefererad karta.tif", "A 6435-2023")</f>
        <v/>
      </c>
      <c r="AA36">
        <f>HYPERLINK("https://klasma.github.io/Logging_0192/klagomål/A 6435-2023 FSC-klagomål.docx", "A 6435-2023")</f>
        <v/>
      </c>
      <c r="AB36">
        <f>HYPERLINK("https://klasma.github.io/Logging_0192/klagomålsmail/A 6435-2023 FSC-klagomål mail.docx", "A 6435-2023")</f>
        <v/>
      </c>
      <c r="AC36">
        <f>HYPERLINK("https://klasma.github.io/Logging_0192/tillsyn/A 6435-2023 tillsynsbegäran.docx", "A 6435-2023")</f>
        <v/>
      </c>
      <c r="AD36">
        <f>HYPERLINK("https://klasma.github.io/Logging_0192/tillsynsmail/A 6435-2023 tillsynsbegäran mail.docx", "A 6435-2023")</f>
        <v/>
      </c>
    </row>
    <row r="37" ht="15" customHeight="1">
      <c r="A37" t="inlineStr">
        <is>
          <t>A 23906-2026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46167</v>
      </c>
      <c r="E37" s="1" t="n">
        <v>46313</v>
      </c>
      <c r="F37" t="inlineStr">
        <is>
          <t>STOCKHOLMS LÄN</t>
        </is>
      </c>
      <c r="G37" t="inlineStr">
        <is>
          <t>NYNÄSHAMN</t>
        </is>
      </c>
      <c r="H37" t="inlineStr">
        <is>
          <t>Kommuner</t>
        </is>
      </c>
      <c r="I37" t="n">
        <v>7.9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 sköldmossa</t>
        </is>
      </c>
      <c r="W37">
        <f>HYPERLINK("https://klasma.github.io/Logging_0192/artfynd/A 23906-2026 artfynd.xlsx", "A 23906-2026")</f>
        <v/>
      </c>
      <c r="X37">
        <f>HYPERLINK("https://klasma.github.io/Logging_0192/kartor/A 23906-2026 karta.png", "A 23906-2026")</f>
        <v/>
      </c>
      <c r="Y37">
        <f>HYPERLINK("https://klasma.github.io/Logging_0192/kartor_geotiff/A 23906-2026 georefererad karta.tif", "A 23906-2026")</f>
        <v/>
      </c>
      <c r="AA37">
        <f>HYPERLINK("https://klasma.github.io/Logging_0192/klagomål/A 23906-2026 FSC-klagomål.docx", "A 23906-2026")</f>
        <v/>
      </c>
      <c r="AB37">
        <f>HYPERLINK("https://klasma.github.io/Logging_0192/klagomålsmail/A 23906-2026 FSC-klagomål mail.docx", "A 23906-2026")</f>
        <v/>
      </c>
      <c r="AC37">
        <f>HYPERLINK("https://klasma.github.io/Logging_0192/tillsyn/A 23906-2026 tillsynsbegäran.docx", "A 23906-2026")</f>
        <v/>
      </c>
      <c r="AD37">
        <f>HYPERLINK("https://klasma.github.io/Logging_0192/tillsynsmail/A 23906-2026 tillsynsbegäran mail.docx", "A 23906-2026")</f>
        <v/>
      </c>
    </row>
    <row r="38" ht="15" customHeight="1">
      <c r="A38" t="inlineStr">
        <is>
          <t>A 9964-2022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44621</v>
      </c>
      <c r="E38" s="1" t="n">
        <v>46313</v>
      </c>
      <c r="F38" t="inlineStr">
        <is>
          <t>STOCKHOLMS LÄN</t>
        </is>
      </c>
      <c r="G38" t="inlineStr">
        <is>
          <t>NYNÄSHAMN</t>
        </is>
      </c>
      <c r="I38" t="n">
        <v>4.3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70850-2021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44538</v>
      </c>
      <c r="E39" s="1" t="n">
        <v>46313</v>
      </c>
      <c r="F39" t="inlineStr">
        <is>
          <t>STOCKHOLMS LÄN</t>
        </is>
      </c>
      <c r="G39" t="inlineStr">
        <is>
          <t>NYNÄSHAMN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73963-2021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44553</v>
      </c>
      <c r="E40" s="1" t="n">
        <v>46313</v>
      </c>
      <c r="F40" t="inlineStr">
        <is>
          <t>STOCKHOLMS LÄN</t>
        </is>
      </c>
      <c r="G40" t="inlineStr">
        <is>
          <t>NYNÄSHAMN</t>
        </is>
      </c>
      <c r="I40" t="n">
        <v>0.3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73966-2021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44553</v>
      </c>
      <c r="E41" s="1" t="n">
        <v>46313</v>
      </c>
      <c r="F41" t="inlineStr">
        <is>
          <t>STOCKHOLMS LÄN</t>
        </is>
      </c>
      <c r="G41" t="inlineStr">
        <is>
          <t>NYNÄSHAMN</t>
        </is>
      </c>
      <c r="I41" t="n">
        <v>4.3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73967-2021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44553</v>
      </c>
      <c r="E42" s="1" t="n">
        <v>46313</v>
      </c>
      <c r="F42" t="inlineStr">
        <is>
          <t>STOCKHOLMS LÄN</t>
        </is>
      </c>
      <c r="G42" t="inlineStr">
        <is>
          <t>NYNÄSHAMN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48309-2022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44854</v>
      </c>
      <c r="E43" s="1" t="n">
        <v>46313</v>
      </c>
      <c r="F43" t="inlineStr">
        <is>
          <t>STOCKHOLMS LÄN</t>
        </is>
      </c>
      <c r="G43" t="inlineStr">
        <is>
          <t>NYNÄSHAMN</t>
        </is>
      </c>
      <c r="H43" t="inlineStr">
        <is>
          <t>Övriga statliga verk och myndigheter</t>
        </is>
      </c>
      <c r="I43" t="n">
        <v>7.4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52911-2024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45610</v>
      </c>
      <c r="E44" s="1" t="n">
        <v>46313</v>
      </c>
      <c r="F44" t="inlineStr">
        <is>
          <t>STOCKHOLMS LÄN</t>
        </is>
      </c>
      <c r="G44" t="inlineStr">
        <is>
          <t>NYNÄSHAMN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45747</v>
      </c>
      <c r="E45" s="1" t="n">
        <v>46313</v>
      </c>
      <c r="F45" t="inlineStr">
        <is>
          <t>STOCKHOLMS LÄN</t>
        </is>
      </c>
      <c r="G45" t="inlineStr">
        <is>
          <t>NYNÄSHAMN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24288-2024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45457</v>
      </c>
      <c r="E46" s="1" t="n">
        <v>46313</v>
      </c>
      <c r="F46" t="inlineStr">
        <is>
          <t>STOCKHOLMS LÄN</t>
        </is>
      </c>
      <c r="G46" t="inlineStr">
        <is>
          <t>NYNÄSHAMN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26190-2022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44735</v>
      </c>
      <c r="E47" s="1" t="n">
        <v>46313</v>
      </c>
      <c r="F47" t="inlineStr">
        <is>
          <t>STOCKHOLMS LÄN</t>
        </is>
      </c>
      <c r="G47" t="inlineStr">
        <is>
          <t>NYNÄSHAMN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7180-2024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45344</v>
      </c>
      <c r="E48" s="1" t="n">
        <v>46313</v>
      </c>
      <c r="F48" t="inlineStr">
        <is>
          <t>STOCKHOLMS LÄN</t>
        </is>
      </c>
      <c r="G48" t="inlineStr">
        <is>
          <t>NYNÄSHAMN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2367-2023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44942</v>
      </c>
      <c r="E49" s="1" t="n">
        <v>46313</v>
      </c>
      <c r="F49" t="inlineStr">
        <is>
          <t>STOCKHOLMS LÄN</t>
        </is>
      </c>
      <c r="G49" t="inlineStr">
        <is>
          <t>NYNÄSHAMN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37491-2022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46313</v>
      </c>
      <c r="F50" t="inlineStr">
        <is>
          <t>STOCKHOLMS LÄN</t>
        </is>
      </c>
      <c r="G50" t="inlineStr">
        <is>
          <t>NYNÄSHAMN</t>
        </is>
      </c>
      <c r="I50" t="n">
        <v>4.3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26501-2024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45469</v>
      </c>
      <c r="E51" s="1" t="n">
        <v>46313</v>
      </c>
      <c r="F51" t="inlineStr">
        <is>
          <t>STOCKHOLMS LÄN</t>
        </is>
      </c>
      <c r="G51" t="inlineStr">
        <is>
          <t>NYNÄSHAMN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9020-2023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46313</v>
      </c>
      <c r="F52" t="inlineStr">
        <is>
          <t>STOCKHOLMS LÄN</t>
        </is>
      </c>
      <c r="G52" t="inlineStr">
        <is>
          <t>NYNÄSHAMN</t>
        </is>
      </c>
      <c r="H52" t="inlineStr">
        <is>
          <t>Kommuner</t>
        </is>
      </c>
      <c r="I52" t="n">
        <v>8.1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63931-2021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44509</v>
      </c>
      <c r="E53" s="1" t="n">
        <v>46313</v>
      </c>
      <c r="F53" t="inlineStr">
        <is>
          <t>STOCKHOLMS LÄN</t>
        </is>
      </c>
      <c r="G53" t="inlineStr">
        <is>
          <t>NYNÄSHAMN</t>
        </is>
      </c>
      <c r="H53" t="inlineStr">
        <is>
          <t>Kommuner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62038-2023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45266</v>
      </c>
      <c r="E54" s="1" t="n">
        <v>46313</v>
      </c>
      <c r="F54" t="inlineStr">
        <is>
          <t>STOCKHOLMS LÄN</t>
        </is>
      </c>
      <c r="G54" t="inlineStr">
        <is>
          <t>NYNÄSHAMN</t>
        </is>
      </c>
      <c r="I54" t="n">
        <v>5.6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47128-2023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45196</v>
      </c>
      <c r="E55" s="1" t="n">
        <v>46313</v>
      </c>
      <c r="F55" t="inlineStr">
        <is>
          <t>STOCKHOLMS LÄN</t>
        </is>
      </c>
      <c r="G55" t="inlineStr">
        <is>
          <t>NYNÄSHAMN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1658-2022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44574</v>
      </c>
      <c r="E56" s="1" t="n">
        <v>46313</v>
      </c>
      <c r="F56" t="inlineStr">
        <is>
          <t>STOCKHOLMS LÄN</t>
        </is>
      </c>
      <c r="G56" t="inlineStr">
        <is>
          <t>NYNÄSHAMN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18411-2025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45762</v>
      </c>
      <c r="E57" s="1" t="n">
        <v>46313</v>
      </c>
      <c r="F57" t="inlineStr">
        <is>
          <t>STOCKHOLMS LÄN</t>
        </is>
      </c>
      <c r="G57" t="inlineStr">
        <is>
          <t>NYNÄSHAMN</t>
        </is>
      </c>
      <c r="I57" t="n">
        <v>11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60977-2022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44908</v>
      </c>
      <c r="E58" s="1" t="n">
        <v>46313</v>
      </c>
      <c r="F58" t="inlineStr">
        <is>
          <t>STOCKHOLMS LÄN</t>
        </is>
      </c>
      <c r="G58" t="inlineStr">
        <is>
          <t>NYNÄSHAMN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8932-2023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44979</v>
      </c>
      <c r="E59" s="1" t="n">
        <v>46313</v>
      </c>
      <c r="F59" t="inlineStr">
        <is>
          <t>STOCKHOLMS LÄN</t>
        </is>
      </c>
      <c r="G59" t="inlineStr">
        <is>
          <t>NYNÄSHAMN</t>
        </is>
      </c>
      <c r="I59" t="n">
        <v>2.3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36052-2023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45149</v>
      </c>
      <c r="E60" s="1" t="n">
        <v>46313</v>
      </c>
      <c r="F60" t="inlineStr">
        <is>
          <t>STOCKHOLMS LÄN</t>
        </is>
      </c>
      <c r="G60" t="inlineStr">
        <is>
          <t>NYNÄSHAMN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15176-2024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45400</v>
      </c>
      <c r="E61" s="1" t="n">
        <v>46313</v>
      </c>
      <c r="F61" t="inlineStr">
        <is>
          <t>STOCKHOLMS LÄN</t>
        </is>
      </c>
      <c r="G61" t="inlineStr">
        <is>
          <t>NYNÄSHAMN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46857-2025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45928</v>
      </c>
      <c r="E62" s="1" t="n">
        <v>46313</v>
      </c>
      <c r="F62" t="inlineStr">
        <is>
          <t>STOCKHOLMS LÄN</t>
        </is>
      </c>
      <c r="G62" t="inlineStr">
        <is>
          <t>NYNÄSHAMN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6775-2022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44602</v>
      </c>
      <c r="E63" s="1" t="n">
        <v>46313</v>
      </c>
      <c r="F63" t="inlineStr">
        <is>
          <t>STOCKHOLMS LÄN</t>
        </is>
      </c>
      <c r="G63" t="inlineStr">
        <is>
          <t>NYNÄSHAMN</t>
        </is>
      </c>
      <c r="I63" t="n">
        <v>4.7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48456-2025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45935</v>
      </c>
      <c r="E64" s="1" t="n">
        <v>46313</v>
      </c>
      <c r="F64" t="inlineStr">
        <is>
          <t>STOCKHOLMS LÄN</t>
        </is>
      </c>
      <c r="G64" t="inlineStr">
        <is>
          <t>NYNÄSHAMN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17990-2024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45419</v>
      </c>
      <c r="E65" s="1" t="n">
        <v>46313</v>
      </c>
      <c r="F65" t="inlineStr">
        <is>
          <t>STOCKHOLMS LÄN</t>
        </is>
      </c>
      <c r="G65" t="inlineStr">
        <is>
          <t>NYNÄSHAMN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64411-2023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45280</v>
      </c>
      <c r="E66" s="1" t="n">
        <v>46313</v>
      </c>
      <c r="F66" t="inlineStr">
        <is>
          <t>STOCKHOLMS LÄN</t>
        </is>
      </c>
      <c r="G66" t="inlineStr">
        <is>
          <t>NYNÄSHAMN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51954-2025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45952</v>
      </c>
      <c r="E67" s="1" t="n">
        <v>46313</v>
      </c>
      <c r="F67" t="inlineStr">
        <is>
          <t>STOCKHOLMS LÄN</t>
        </is>
      </c>
      <c r="G67" t="inlineStr">
        <is>
          <t>NYNÄSHAMN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41677-2023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45173</v>
      </c>
      <c r="E68" s="1" t="n">
        <v>46313</v>
      </c>
      <c r="F68" t="inlineStr">
        <is>
          <t>STOCKHOLMS LÄN</t>
        </is>
      </c>
      <c r="G68" t="inlineStr">
        <is>
          <t>NYNÄSHAMN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41680-2023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45173</v>
      </c>
      <c r="E69" s="1" t="n">
        <v>46313</v>
      </c>
      <c r="F69" t="inlineStr">
        <is>
          <t>STOCKHOLMS LÄN</t>
        </is>
      </c>
      <c r="G69" t="inlineStr">
        <is>
          <t>NYNÄSHAMN</t>
        </is>
      </c>
      <c r="I69" t="n">
        <v>12.3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56210-2025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45974</v>
      </c>
      <c r="E70" s="1" t="n">
        <v>46313</v>
      </c>
      <c r="F70" t="inlineStr">
        <is>
          <t>STOCKHOLMS LÄN</t>
        </is>
      </c>
      <c r="G70" t="inlineStr">
        <is>
          <t>NYNÄSHAMN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56385-2025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45974</v>
      </c>
      <c r="E71" s="1" t="n">
        <v>46313</v>
      </c>
      <c r="F71" t="inlineStr">
        <is>
          <t>STOCKHOLMS LÄN</t>
        </is>
      </c>
      <c r="G71" t="inlineStr">
        <is>
          <t>NYNÄSHAMN</t>
        </is>
      </c>
      <c r="I71" t="n">
        <v>6.1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24595-2026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46170</v>
      </c>
      <c r="E72" s="1" t="n">
        <v>46313</v>
      </c>
      <c r="F72" t="inlineStr">
        <is>
          <t>STOCKHOLMS LÄN</t>
        </is>
      </c>
      <c r="G72" t="inlineStr">
        <is>
          <t>NYNÄSHAMN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2170-2023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44941</v>
      </c>
      <c r="E73" s="1" t="n">
        <v>46313</v>
      </c>
      <c r="F73" t="inlineStr">
        <is>
          <t>STOCKHOLMS LÄN</t>
        </is>
      </c>
      <c r="G73" t="inlineStr">
        <is>
          <t>NYNÄSHAMN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21192-2023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45062</v>
      </c>
      <c r="E74" s="1" t="n">
        <v>46313</v>
      </c>
      <c r="F74" t="inlineStr">
        <is>
          <t>STOCKHOLMS LÄN</t>
        </is>
      </c>
      <c r="G74" t="inlineStr">
        <is>
          <t>NYNÄSHAMN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9062-2023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44979</v>
      </c>
      <c r="E75" s="1" t="n">
        <v>46313</v>
      </c>
      <c r="F75" t="inlineStr">
        <is>
          <t>STOCKHOLMS LÄN</t>
        </is>
      </c>
      <c r="G75" t="inlineStr">
        <is>
          <t>NYNÄSHAMN</t>
        </is>
      </c>
      <c r="H75" t="inlineStr">
        <is>
          <t>Kommuner</t>
        </is>
      </c>
      <c r="I75" t="n">
        <v>3.4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25175-2023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45086</v>
      </c>
      <c r="E76" s="1" t="n">
        <v>46313</v>
      </c>
      <c r="F76" t="inlineStr">
        <is>
          <t>STOCKHOLMS LÄN</t>
        </is>
      </c>
      <c r="G76" t="inlineStr">
        <is>
          <t>NYNÄSHAMN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63463-2023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45274</v>
      </c>
      <c r="E77" s="1" t="n">
        <v>46313</v>
      </c>
      <c r="F77" t="inlineStr">
        <is>
          <t>STOCKHOLMS LÄN</t>
        </is>
      </c>
      <c r="G77" t="inlineStr">
        <is>
          <t>NYNÄSHAMN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33667-2022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44789</v>
      </c>
      <c r="E78" s="1" t="n">
        <v>46313</v>
      </c>
      <c r="F78" t="inlineStr">
        <is>
          <t>STOCKHOLMS LÄN</t>
        </is>
      </c>
      <c r="G78" t="inlineStr">
        <is>
          <t>NYNÄSHAMN</t>
        </is>
      </c>
      <c r="I78" t="n">
        <v>3.3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4688-2023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44957</v>
      </c>
      <c r="E79" s="1" t="n">
        <v>46313</v>
      </c>
      <c r="F79" t="inlineStr">
        <is>
          <t>STOCKHOLMS LÄN</t>
        </is>
      </c>
      <c r="G79" t="inlineStr">
        <is>
          <t>NYNÄSHAMN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62878-2023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45272</v>
      </c>
      <c r="E80" s="1" t="n">
        <v>46313</v>
      </c>
      <c r="F80" t="inlineStr">
        <is>
          <t>STOCKHOLMS LÄN</t>
        </is>
      </c>
      <c r="G80" t="inlineStr">
        <is>
          <t>NYNÄSHAMN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5884-2026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46052</v>
      </c>
      <c r="E81" s="1" t="n">
        <v>46313</v>
      </c>
      <c r="F81" t="inlineStr">
        <is>
          <t>STOCKHOLMS LÄN</t>
        </is>
      </c>
      <c r="G81" t="inlineStr">
        <is>
          <t>NYNÄSHAMN</t>
        </is>
      </c>
      <c r="H81" t="inlineStr">
        <is>
          <t>Kyrkan</t>
        </is>
      </c>
      <c r="I81" t="n">
        <v>4.1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55871-2023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45239</v>
      </c>
      <c r="E82" s="1" t="n">
        <v>46313</v>
      </c>
      <c r="F82" t="inlineStr">
        <is>
          <t>STOCKHOLMS LÄN</t>
        </is>
      </c>
      <c r="G82" t="inlineStr">
        <is>
          <t>NYNÄSHAMN</t>
        </is>
      </c>
      <c r="H82" t="inlineStr">
        <is>
          <t>Kommuner</t>
        </is>
      </c>
      <c r="I82" t="n">
        <v>5.2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26505-2024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45469</v>
      </c>
      <c r="E83" s="1" t="n">
        <v>46313</v>
      </c>
      <c r="F83" t="inlineStr">
        <is>
          <t>STOCKHOLMS LÄN</t>
        </is>
      </c>
      <c r="G83" t="inlineStr">
        <is>
          <t>NYNÄSHAMN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52859-2024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45610</v>
      </c>
      <c r="E84" s="1" t="n">
        <v>46313</v>
      </c>
      <c r="F84" t="inlineStr">
        <is>
          <t>STOCKHOLMS LÄN</t>
        </is>
      </c>
      <c r="G84" t="inlineStr">
        <is>
          <t>NYNÄSHAMN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34385-2023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45139</v>
      </c>
      <c r="E85" s="1" t="n">
        <v>46313</v>
      </c>
      <c r="F85" t="inlineStr">
        <is>
          <t>STOCKHOLMS LÄN</t>
        </is>
      </c>
      <c r="G85" t="inlineStr">
        <is>
          <t>NYNÄSHAMN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34660-2023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45140</v>
      </c>
      <c r="E86" s="1" t="n">
        <v>46313</v>
      </c>
      <c r="F86" t="inlineStr">
        <is>
          <t>STOCKHOLMS LÄN</t>
        </is>
      </c>
      <c r="G86" t="inlineStr">
        <is>
          <t>NYNÄSHAMN</t>
        </is>
      </c>
      <c r="I86" t="n">
        <v>1.7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44624-2023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45184</v>
      </c>
      <c r="E87" s="1" t="n">
        <v>46313</v>
      </c>
      <c r="F87" t="inlineStr">
        <is>
          <t>STOCKHOLMS LÄN</t>
        </is>
      </c>
      <c r="G87" t="inlineStr">
        <is>
          <t>NYNÄSHAMN</t>
        </is>
      </c>
      <c r="I87" t="n">
        <v>6.8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30910-2023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45113</v>
      </c>
      <c r="E88" s="1" t="n">
        <v>46313</v>
      </c>
      <c r="F88" t="inlineStr">
        <is>
          <t>STOCKHOLMS LÄN</t>
        </is>
      </c>
      <c r="G88" t="inlineStr">
        <is>
          <t>NYNÄSHAMN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12032-2026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46085</v>
      </c>
      <c r="E89" s="1" t="n">
        <v>46313</v>
      </c>
      <c r="F89" t="inlineStr">
        <is>
          <t>STOCKHOLMS LÄN</t>
        </is>
      </c>
      <c r="G89" t="inlineStr">
        <is>
          <t>NYNÄSHAMN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30476-2026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46210</v>
      </c>
      <c r="E90" s="1" t="n">
        <v>46313</v>
      </c>
      <c r="F90" t="inlineStr">
        <is>
          <t>STOCKHOLMS LÄN</t>
        </is>
      </c>
      <c r="G90" t="inlineStr">
        <is>
          <t>NYNÄSHAMN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41767-2024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45561</v>
      </c>
      <c r="E91" s="1" t="n">
        <v>46313</v>
      </c>
      <c r="F91" t="inlineStr">
        <is>
          <t>STOCKHOLMS LÄN</t>
        </is>
      </c>
      <c r="G91" t="inlineStr">
        <is>
          <t>NYNÄSHAMN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64494-2023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45280</v>
      </c>
      <c r="E92" s="1" t="n">
        <v>46313</v>
      </c>
      <c r="F92" t="inlineStr">
        <is>
          <t>STOCKHOLMS LÄN</t>
        </is>
      </c>
      <c r="G92" t="inlineStr">
        <is>
          <t>NYNÄSHAMN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47089-2023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45196</v>
      </c>
      <c r="E93" s="1" t="n">
        <v>46313</v>
      </c>
      <c r="F93" t="inlineStr">
        <is>
          <t>STOCKHOLMS LÄN</t>
        </is>
      </c>
      <c r="G93" t="inlineStr">
        <is>
          <t>NYNÄSHAMN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48978-2023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45209</v>
      </c>
      <c r="E94" s="1" t="n">
        <v>46313</v>
      </c>
      <c r="F94" t="inlineStr">
        <is>
          <t>STOCKHOLMS LÄN</t>
        </is>
      </c>
      <c r="G94" t="inlineStr">
        <is>
          <t>NYNÄSHAMN</t>
        </is>
      </c>
      <c r="H94" t="inlineStr">
        <is>
          <t>Kyrkan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17991-2024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45419</v>
      </c>
      <c r="E95" s="1" t="n">
        <v>46313</v>
      </c>
      <c r="F95" t="inlineStr">
        <is>
          <t>STOCKHOLMS LÄN</t>
        </is>
      </c>
      <c r="G95" t="inlineStr">
        <is>
          <t>NYNÄSHAMN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16793-2023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45028</v>
      </c>
      <c r="E96" s="1" t="n">
        <v>46313</v>
      </c>
      <c r="F96" t="inlineStr">
        <is>
          <t>STOCKHOLMS LÄN</t>
        </is>
      </c>
      <c r="G96" t="inlineStr">
        <is>
          <t>NYNÄSHAMN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32305-2026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46237</v>
      </c>
      <c r="E97" s="1" t="n">
        <v>46313</v>
      </c>
      <c r="F97" t="inlineStr">
        <is>
          <t>STOCKHOLMS LÄN</t>
        </is>
      </c>
      <c r="G97" t="inlineStr">
        <is>
          <t>NYNÄSHAMN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32307-2026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46237</v>
      </c>
      <c r="E98" s="1" t="n">
        <v>46313</v>
      </c>
      <c r="F98" t="inlineStr">
        <is>
          <t>STOCKHOLMS LÄN</t>
        </is>
      </c>
      <c r="G98" t="inlineStr">
        <is>
          <t>NYNÄSHAMN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8932-2023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44979</v>
      </c>
      <c r="E99" s="1" t="n">
        <v>46313</v>
      </c>
      <c r="F99" t="inlineStr">
        <is>
          <t>STOCKHOLMS LÄN</t>
        </is>
      </c>
      <c r="G99" t="inlineStr">
        <is>
          <t>NYNÄSHAMN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10224-2023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44986</v>
      </c>
      <c r="E100" s="1" t="n">
        <v>46313</v>
      </c>
      <c r="F100" t="inlineStr">
        <is>
          <t>STOCKHOLMS LÄN</t>
        </is>
      </c>
      <c r="G100" t="inlineStr">
        <is>
          <t>NYNÄSHAMN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17634-2022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44680</v>
      </c>
      <c r="E101" s="1" t="n">
        <v>46313</v>
      </c>
      <c r="F101" t="inlineStr">
        <is>
          <t>STOCKHOLMS LÄN</t>
        </is>
      </c>
      <c r="G101" t="inlineStr">
        <is>
          <t>NYNÄSHAMN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32840-2026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46244</v>
      </c>
      <c r="E102" s="1" t="n">
        <v>46313</v>
      </c>
      <c r="F102" t="inlineStr">
        <is>
          <t>STOCKHOLMS LÄN</t>
        </is>
      </c>
      <c r="G102" t="inlineStr">
        <is>
          <t>NYNÄSHAMN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33787-2024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45520</v>
      </c>
      <c r="E103" s="1" t="n">
        <v>46313</v>
      </c>
      <c r="F103" t="inlineStr">
        <is>
          <t>STOCKHOLMS LÄN</t>
        </is>
      </c>
      <c r="G103" t="inlineStr">
        <is>
          <t>NYNÄSHAMN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33060-2026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46245</v>
      </c>
      <c r="E104" s="1" t="n">
        <v>46313</v>
      </c>
      <c r="F104" t="inlineStr">
        <is>
          <t>STOCKHOLMS LÄN</t>
        </is>
      </c>
      <c r="G104" t="inlineStr">
        <is>
          <t>NYNÄSHAMN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33067-2026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46245</v>
      </c>
      <c r="E105" s="1" t="n">
        <v>46313</v>
      </c>
      <c r="F105" t="inlineStr">
        <is>
          <t>STOCKHOLMS LÄN</t>
        </is>
      </c>
      <c r="G105" t="inlineStr">
        <is>
          <t>NYNÄSHAMN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33063-2026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46245</v>
      </c>
      <c r="E106" s="1" t="n">
        <v>46313</v>
      </c>
      <c r="F106" t="inlineStr">
        <is>
          <t>STOCKHOLMS LÄN</t>
        </is>
      </c>
      <c r="G106" t="inlineStr">
        <is>
          <t>NYNÄSHAMN</t>
        </is>
      </c>
      <c r="I106" t="n">
        <v>2.8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44619-2023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46313</v>
      </c>
      <c r="F107" t="inlineStr">
        <is>
          <t>STOCKHOLMS LÄN</t>
        </is>
      </c>
      <c r="G107" t="inlineStr">
        <is>
          <t>NYNÄSHAMN</t>
        </is>
      </c>
      <c r="I107" t="n">
        <v>7.6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45664</v>
      </c>
      <c r="E108" s="1" t="n">
        <v>46313</v>
      </c>
      <c r="F108" t="inlineStr">
        <is>
          <t>STOCKHOLMS LÄN</t>
        </is>
      </c>
      <c r="G108" t="inlineStr">
        <is>
          <t>NYNÄSHAMN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52910-2024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45610</v>
      </c>
      <c r="E109" s="1" t="n">
        <v>46313</v>
      </c>
      <c r="F109" t="inlineStr">
        <is>
          <t>STOCKHOLMS LÄN</t>
        </is>
      </c>
      <c r="G109" t="inlineStr">
        <is>
          <t>NYNÄSHAMN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35356-2023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45146</v>
      </c>
      <c r="E110" s="1" t="n">
        <v>46313</v>
      </c>
      <c r="F110" t="inlineStr">
        <is>
          <t>STOCKHOLMS LÄN</t>
        </is>
      </c>
      <c r="G110" t="inlineStr">
        <is>
          <t>NYNÄSHAMN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44574</v>
      </c>
      <c r="E111" s="1" t="n">
        <v>46313</v>
      </c>
      <c r="F111" t="inlineStr">
        <is>
          <t>STOCKHOLMS LÄN</t>
        </is>
      </c>
      <c r="G111" t="inlineStr">
        <is>
          <t>NYNÄSHAMN</t>
        </is>
      </c>
      <c r="H111" t="inlineStr">
        <is>
          <t>Kommuner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22730-2025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45789</v>
      </c>
      <c r="E112" s="1" t="n">
        <v>46313</v>
      </c>
      <c r="F112" t="inlineStr">
        <is>
          <t>STOCKHOLMS LÄN</t>
        </is>
      </c>
      <c r="G112" t="inlineStr">
        <is>
          <t>NYNÄSHAMN</t>
        </is>
      </c>
      <c r="H112" t="inlineStr">
        <is>
          <t>Kommuner</t>
        </is>
      </c>
      <c r="I112" t="n">
        <v>3.8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29811-2025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45825</v>
      </c>
      <c r="E113" s="1" t="n">
        <v>46313</v>
      </c>
      <c r="F113" t="inlineStr">
        <is>
          <t>STOCKHOLMS LÄN</t>
        </is>
      </c>
      <c r="G113" t="inlineStr">
        <is>
          <t>NYNÄSHAMN</t>
        </is>
      </c>
      <c r="H113" t="inlineStr">
        <is>
          <t>Övriga statliga verk och myndigheter</t>
        </is>
      </c>
      <c r="I113" t="n">
        <v>4.7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52953-2024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45610</v>
      </c>
      <c r="E114" s="1" t="n">
        <v>46313</v>
      </c>
      <c r="F114" t="inlineStr">
        <is>
          <t>STOCKHOLMS LÄN</t>
        </is>
      </c>
      <c r="G114" t="inlineStr">
        <is>
          <t>NYNÄSHAMN</t>
        </is>
      </c>
      <c r="I114" t="n">
        <v>6.4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13945-2025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45737</v>
      </c>
      <c r="E115" s="1" t="n">
        <v>46313</v>
      </c>
      <c r="F115" t="inlineStr">
        <is>
          <t>STOCKHOLMS LÄN</t>
        </is>
      </c>
      <c r="G115" t="inlineStr">
        <is>
          <t>NYNÄSHAMN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36496-2025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45869</v>
      </c>
      <c r="E116" s="1" t="n">
        <v>46313</v>
      </c>
      <c r="F116" t="inlineStr">
        <is>
          <t>STOCKHOLMS LÄN</t>
        </is>
      </c>
      <c r="G116" t="inlineStr">
        <is>
          <t>NYNÄSHAMN</t>
        </is>
      </c>
      <c r="I116" t="n">
        <v>5.3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36468-2025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45869</v>
      </c>
      <c r="E117" s="1" t="n">
        <v>46313</v>
      </c>
      <c r="F117" t="inlineStr">
        <is>
          <t>STOCKHOLMS LÄN</t>
        </is>
      </c>
      <c r="G117" t="inlineStr">
        <is>
          <t>NYNÄSHAMN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45610</v>
      </c>
      <c r="E118" s="1" t="n">
        <v>46313</v>
      </c>
      <c r="F118" t="inlineStr">
        <is>
          <t>STOCKHOLMS LÄN</t>
        </is>
      </c>
      <c r="G118" t="inlineStr">
        <is>
          <t>NYNÄSHAMN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2697-2024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45482</v>
      </c>
      <c r="E119" s="1" t="n">
        <v>46313</v>
      </c>
      <c r="F119" t="inlineStr">
        <is>
          <t>STOCKHOLMS LÄN</t>
        </is>
      </c>
      <c r="G119" t="inlineStr">
        <is>
          <t>NYNÄSHAMN</t>
        </is>
      </c>
      <c r="I119" t="n">
        <v>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4477-2022</t>
        </is>
      </c>
      <c r="B120" t="inlineStr">
        <is>
          <t>samrådsanmälan</t>
        </is>
      </c>
      <c r="C120" t="inlineStr">
        <is>
          <t>Skogsbilväg</t>
        </is>
      </c>
      <c r="D120" s="1" t="n">
        <v>44787</v>
      </c>
      <c r="E120" s="1" t="n">
        <v>46313</v>
      </c>
      <c r="F120" t="inlineStr">
        <is>
          <t>STOCKHOLMS LÄN</t>
        </is>
      </c>
      <c r="G120" t="inlineStr">
        <is>
          <t>NYNÄSHAMN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>
      <c r="A121" t="inlineStr">
        <is>
          <t>S 1845-2026</t>
        </is>
      </c>
      <c r="B121" t="inlineStr">
        <is>
          <t>samrådsanmälan</t>
        </is>
      </c>
      <c r="C121" t="inlineStr">
        <is>
          <t>Annan skogsbruksåtgärd</t>
        </is>
      </c>
      <c r="D121" s="1" t="n">
        <v>46198</v>
      </c>
      <c r="E121" s="1" t="n">
        <v>46313</v>
      </c>
      <c r="F121" t="inlineStr">
        <is>
          <t>STOCKHOLMS LÄN</t>
        </is>
      </c>
      <c r="G121" t="inlineStr">
        <is>
          <t>NYNÄSHAMN</t>
        </is>
      </c>
      <c r="I121" t="n">
        <v>3.4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2026-10-18T08:09:33Z</dcterms:created>
  <dcterms:modified xmlns:dcterms="http://purl.org/dc/terms/" xmlns:xsi="http://www.w3.org/2001/XMLSchema-instance" xsi:type="dcterms:W3CDTF">2026-10-18T08:09:33Z</dcterms:modified>
</cp:coreProperties>
</file>