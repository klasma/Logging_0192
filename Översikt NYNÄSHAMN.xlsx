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45967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45967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45967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45967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45967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45967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9268-2023</t>
        </is>
      </c>
      <c r="B20" s="1" t="n">
        <v>44980</v>
      </c>
      <c r="C20" s="1" t="n">
        <v>45967</v>
      </c>
      <c r="D20" t="inlineStr">
        <is>
          <t>STOCKHOLMS LÄN</t>
        </is>
      </c>
      <c r="E20" t="inlineStr">
        <is>
          <t>NYNÄSHAMN</t>
        </is>
      </c>
      <c r="G20" t="n">
        <v>4.9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HYPERLINK("https://klasma.github.io/Logging_0192/artfynd/A 9268-2023 artfynd.xlsx", "A 9268-2023")</f>
        <v/>
      </c>
      <c r="T20">
        <f>HYPERLINK("https://klasma.github.io/Logging_0192/kartor/A 9268-2023 karta.png", "A 9268-2023")</f>
        <v/>
      </c>
      <c r="V20">
        <f>HYPERLINK("https://klasma.github.io/Logging_0192/klagomål/A 9268-2023 FSC-klagomål.docx", "A 9268-2023")</f>
        <v/>
      </c>
      <c r="W20">
        <f>HYPERLINK("https://klasma.github.io/Logging_0192/klagomålsmail/A 9268-2023 FSC-klagomål mail.docx", "A 9268-2023")</f>
        <v/>
      </c>
      <c r="X20">
        <f>HYPERLINK("https://klasma.github.io/Logging_0192/tillsyn/A 9268-2023 tillsynsbegäran.docx", "A 9268-2023")</f>
        <v/>
      </c>
      <c r="Y20">
        <f>HYPERLINK("https://klasma.github.io/Logging_0192/tillsynsmail/A 9268-2023 tillsynsbegäran mail.docx", "A 9268-2023")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45967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45967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45967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45967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45967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45967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45967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45967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45967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31842-2023</t>
        </is>
      </c>
      <c r="B32" s="1" t="n">
        <v>45118</v>
      </c>
      <c r="C32" s="1" t="n">
        <v>45967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31842-2023 artfynd.xlsx", "A 31842-2023")</f>
        <v/>
      </c>
      <c r="T32">
        <f>HYPERLINK("https://klasma.github.io/Logging_0192/kartor/A 31842-2023 karta.png", "A 31842-2023")</f>
        <v/>
      </c>
      <c r="V32">
        <f>HYPERLINK("https://klasma.github.io/Logging_0192/klagomål/A 31842-2023 FSC-klagomål.docx", "A 31842-2023")</f>
        <v/>
      </c>
      <c r="W32">
        <f>HYPERLINK("https://klasma.github.io/Logging_0192/klagomålsmail/A 31842-2023 FSC-klagomål mail.docx", "A 31842-2023")</f>
        <v/>
      </c>
      <c r="X32">
        <f>HYPERLINK("https://klasma.github.io/Logging_0192/tillsyn/A 31842-2023 tillsynsbegäran.docx", "A 31842-2023")</f>
        <v/>
      </c>
      <c r="Y32">
        <f>HYPERLINK("https://klasma.github.io/Logging_0192/tillsynsmail/A 31842-2023 tillsynsbegäran mail.docx", "A 31842-2023")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45967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45967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45967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45967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45967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45967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45967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45967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45967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45967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45967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45967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45967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45967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45967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45967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45967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45967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45967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45967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45967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45967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7457-2025</t>
        </is>
      </c>
      <c r="B61" s="1" t="n">
        <v>45705.43699074074</v>
      </c>
      <c r="C61" s="1" t="n">
        <v>45967</v>
      </c>
      <c r="D61" t="inlineStr">
        <is>
          <t>STOCKHOLMS LÄN</t>
        </is>
      </c>
      <c r="E61" t="inlineStr">
        <is>
          <t>NYNÄSHAMN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9020-2023</t>
        </is>
      </c>
      <c r="B62" s="1" t="n">
        <v>44979</v>
      </c>
      <c r="C62" s="1" t="n">
        <v>45967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26505-2024</t>
        </is>
      </c>
      <c r="B63" s="1" t="n">
        <v>45469</v>
      </c>
      <c r="C63" s="1" t="n">
        <v>45967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6775-2022</t>
        </is>
      </c>
      <c r="B64" s="1" t="n">
        <v>44602.52413194445</v>
      </c>
      <c r="C64" s="1" t="n">
        <v>45967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45967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13947-2025</t>
        </is>
      </c>
      <c r="B66" s="1" t="n">
        <v>45737</v>
      </c>
      <c r="C66" s="1" t="n">
        <v>45967</v>
      </c>
      <c r="D66" t="inlineStr">
        <is>
          <t>STOCKHOLMS LÄN</t>
        </is>
      </c>
      <c r="E66" t="inlineStr">
        <is>
          <t>NYNÄSHAMN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48309-2022</t>
        </is>
      </c>
      <c r="B67" s="1" t="n">
        <v>44854</v>
      </c>
      <c r="C67" s="1" t="n">
        <v>45967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17990-2024</t>
        </is>
      </c>
      <c r="B68" s="1" t="n">
        <v>45419</v>
      </c>
      <c r="C68" s="1" t="n">
        <v>45967</v>
      </c>
      <c r="D68" t="inlineStr">
        <is>
          <t>STOCKHOLMS LÄN</t>
        </is>
      </c>
      <c r="E68" t="inlineStr">
        <is>
          <t>NYNÄSHAMN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45967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3341-2025</t>
        </is>
      </c>
      <c r="B70" s="1" t="n">
        <v>45679</v>
      </c>
      <c r="C70" s="1" t="n">
        <v>45967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17991-2024</t>
        </is>
      </c>
      <c r="B71" s="1" t="n">
        <v>45419</v>
      </c>
      <c r="C71" s="1" t="n">
        <v>45967</v>
      </c>
      <c r="D71" t="inlineStr">
        <is>
          <t>STOCKHOLMS LÄN</t>
        </is>
      </c>
      <c r="E71" t="inlineStr">
        <is>
          <t>NYNÄSHAMN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26750-2021</t>
        </is>
      </c>
      <c r="B72" s="1" t="n">
        <v>44349</v>
      </c>
      <c r="C72" s="1" t="n">
        <v>45967</v>
      </c>
      <c r="D72" t="inlineStr">
        <is>
          <t>STOCKHOLMS LÄN</t>
        </is>
      </c>
      <c r="E72" t="inlineStr">
        <is>
          <t>NYNÄSHAMN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37097-2021</t>
        </is>
      </c>
      <c r="B73" s="1" t="n">
        <v>44395</v>
      </c>
      <c r="C73" s="1" t="n">
        <v>45967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32092-2023</t>
        </is>
      </c>
      <c r="B74" s="1" t="n">
        <v>45119</v>
      </c>
      <c r="C74" s="1" t="n">
        <v>45967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26501-2024</t>
        </is>
      </c>
      <c r="B75" s="1" t="n">
        <v>45469</v>
      </c>
      <c r="C75" s="1" t="n">
        <v>45967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40895-2024</t>
        </is>
      </c>
      <c r="B76" s="1" t="n">
        <v>45558.61607638889</v>
      </c>
      <c r="C76" s="1" t="n">
        <v>45967</v>
      </c>
      <c r="D76" t="inlineStr">
        <is>
          <t>STOCKHOLMS LÄN</t>
        </is>
      </c>
      <c r="E76" t="inlineStr">
        <is>
          <t>NYNÄSHAMN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45967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21192-2023</t>
        </is>
      </c>
      <c r="B78" s="1" t="n">
        <v>45062</v>
      </c>
      <c r="C78" s="1" t="n">
        <v>45967</v>
      </c>
      <c r="D78" t="inlineStr">
        <is>
          <t>STOCKHOLMS LÄN</t>
        </is>
      </c>
      <c r="E78" t="inlineStr">
        <is>
          <t>NYNÄSHAMN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45967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46818-2025</t>
        </is>
      </c>
      <c r="B80" s="1" t="n">
        <v>45926.71837962963</v>
      </c>
      <c r="C80" s="1" t="n">
        <v>45967</v>
      </c>
      <c r="D80" t="inlineStr">
        <is>
          <t>STOCKHOLMS LÄN</t>
        </is>
      </c>
      <c r="E80" t="inlineStr">
        <is>
          <t>NYNÄSHAMN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45967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36052-2023</t>
        </is>
      </c>
      <c r="B82" s="1" t="n">
        <v>45149</v>
      </c>
      <c r="C82" s="1" t="n">
        <v>45967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15176-2024</t>
        </is>
      </c>
      <c r="B83" s="1" t="n">
        <v>45400</v>
      </c>
      <c r="C83" s="1" t="n">
        <v>45967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45967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48978-2023</t>
        </is>
      </c>
      <c r="B85" s="1" t="n">
        <v>45209</v>
      </c>
      <c r="C85" s="1" t="n">
        <v>45967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41680-2023</t>
        </is>
      </c>
      <c r="B86" s="1" t="n">
        <v>45173</v>
      </c>
      <c r="C86" s="1" t="n">
        <v>45967</v>
      </c>
      <c r="D86" t="inlineStr">
        <is>
          <t>STOCKHOLMS LÄN</t>
        </is>
      </c>
      <c r="E86" t="inlineStr">
        <is>
          <t>NYNÄSHAMN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45967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46856-2025</t>
        </is>
      </c>
      <c r="B88" s="1" t="n">
        <v>45928.88810185185</v>
      </c>
      <c r="C88" s="1" t="n">
        <v>45967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45928.89146990741</v>
      </c>
      <c r="C89" s="1" t="n">
        <v>45967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45967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26190-2022</t>
        </is>
      </c>
      <c r="B91" s="1" t="n">
        <v>44735</v>
      </c>
      <c r="C91" s="1" t="n">
        <v>45967</v>
      </c>
      <c r="D91" t="inlineStr">
        <is>
          <t>STOCKHOLMS LÄN</t>
        </is>
      </c>
      <c r="E91" t="inlineStr">
        <is>
          <t>NYNÄSHAMN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63463-2023</t>
        </is>
      </c>
      <c r="B92" s="1" t="n">
        <v>45274</v>
      </c>
      <c r="C92" s="1" t="n">
        <v>45967</v>
      </c>
      <c r="D92" t="inlineStr">
        <is>
          <t>STOCKHOLMS LÄN</t>
        </is>
      </c>
      <c r="E92" t="inlineStr">
        <is>
          <t>NYNÄSHAMN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25175-2023</t>
        </is>
      </c>
      <c r="B93" s="1" t="n">
        <v>45086</v>
      </c>
      <c r="C93" s="1" t="n">
        <v>45967</v>
      </c>
      <c r="D93" t="inlineStr">
        <is>
          <t>STOCKHOLMS LÄN</t>
        </is>
      </c>
      <c r="E93" t="inlineStr">
        <is>
          <t>NYNÄSHAMN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34385-2023</t>
        </is>
      </c>
      <c r="B94" s="1" t="n">
        <v>45139</v>
      </c>
      <c r="C94" s="1" t="n">
        <v>45967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52859-2024</t>
        </is>
      </c>
      <c r="B95" s="1" t="n">
        <v>45610.61542824074</v>
      </c>
      <c r="C95" s="1" t="n">
        <v>45967</v>
      </c>
      <c r="D95" t="inlineStr">
        <is>
          <t>STOCKHOLMS LÄN</t>
        </is>
      </c>
      <c r="E95" t="inlineStr">
        <is>
          <t>NYNÄSHAMN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63931-2021</t>
        </is>
      </c>
      <c r="B96" s="1" t="n">
        <v>44509</v>
      </c>
      <c r="C96" s="1" t="n">
        <v>45967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21202-2025</t>
        </is>
      </c>
      <c r="B97" s="1" t="n">
        <v>45779.47872685185</v>
      </c>
      <c r="C97" s="1" t="n">
        <v>45967</v>
      </c>
      <c r="D97" t="inlineStr">
        <is>
          <t>STOCKHOLMS LÄN</t>
        </is>
      </c>
      <c r="E97" t="inlineStr">
        <is>
          <t>NYNÄSHAMN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48456-2025</t>
        </is>
      </c>
      <c r="B98" s="1" t="n">
        <v>45935.85752314814</v>
      </c>
      <c r="C98" s="1" t="n">
        <v>45967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62634-2022</t>
        </is>
      </c>
      <c r="B99" s="1" t="n">
        <v>44917</v>
      </c>
      <c r="C99" s="1" t="n">
        <v>45967</v>
      </c>
      <c r="D99" t="inlineStr">
        <is>
          <t>STOCKHOLMS LÄN</t>
        </is>
      </c>
      <c r="E99" t="inlineStr">
        <is>
          <t>NYNÄSHAMN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45967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24288-2024</t>
        </is>
      </c>
      <c r="B101" s="1" t="n">
        <v>45457.4562037037</v>
      </c>
      <c r="C101" s="1" t="n">
        <v>45967</v>
      </c>
      <c r="D101" t="inlineStr">
        <is>
          <t>STOCKHOLMS LÄN</t>
        </is>
      </c>
      <c r="E101" t="inlineStr">
        <is>
          <t>NYNÄSHAMN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45967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45967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8939-2023</t>
        </is>
      </c>
      <c r="B104" s="1" t="n">
        <v>44979</v>
      </c>
      <c r="C104" s="1" t="n">
        <v>45967</v>
      </c>
      <c r="D104" t="inlineStr">
        <is>
          <t>STOCKHOLMS LÄN</t>
        </is>
      </c>
      <c r="E104" t="inlineStr">
        <is>
          <t>NYNÄSHAMN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52911-2024</t>
        </is>
      </c>
      <c r="B105" s="1" t="n">
        <v>45610.70392361111</v>
      </c>
      <c r="C105" s="1" t="n">
        <v>45967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45967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45967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47089-2023</t>
        </is>
      </c>
      <c r="B108" s="1" t="n">
        <v>45196</v>
      </c>
      <c r="C108" s="1" t="n">
        <v>45967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47093-2023</t>
        </is>
      </c>
      <c r="B109" s="1" t="n">
        <v>45196</v>
      </c>
      <c r="C109" s="1" t="n">
        <v>45967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62038-2023</t>
        </is>
      </c>
      <c r="B110" s="1" t="n">
        <v>45266</v>
      </c>
      <c r="C110" s="1" t="n">
        <v>45967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7180-2024</t>
        </is>
      </c>
      <c r="B111" s="1" t="n">
        <v>45344</v>
      </c>
      <c r="C111" s="1" t="n">
        <v>45967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45967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62878-2023</t>
        </is>
      </c>
      <c r="B113" s="1" t="n">
        <v>45272</v>
      </c>
      <c r="C113" s="1" t="n">
        <v>45967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15839-2025</t>
        </is>
      </c>
      <c r="B114" s="1" t="n">
        <v>45748.868125</v>
      </c>
      <c r="C114" s="1" t="n">
        <v>45967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23397-2025</t>
        </is>
      </c>
      <c r="B115" s="1" t="n">
        <v>45791.90849537037</v>
      </c>
      <c r="C115" s="1" t="n">
        <v>45967</v>
      </c>
      <c r="D115" t="inlineStr">
        <is>
          <t>STOCKHOLMS LÄN</t>
        </is>
      </c>
      <c r="E115" t="inlineStr">
        <is>
          <t>NYNÄSHAMN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44383.35518518519</v>
      </c>
      <c r="C116" s="1" t="n">
        <v>45967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18411-2025</t>
        </is>
      </c>
      <c r="B117" s="1" t="n">
        <v>45762.61413194444</v>
      </c>
      <c r="C117" s="1" t="n">
        <v>45967</v>
      </c>
      <c r="D117" t="inlineStr">
        <is>
          <t>STOCKHOLMS LÄN</t>
        </is>
      </c>
      <c r="E117" t="inlineStr">
        <is>
          <t>NYNÄSHAMN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22721-2025</t>
        </is>
      </c>
      <c r="B118" s="1" t="n">
        <v>45789.57309027778</v>
      </c>
      <c r="C118" s="1" t="n">
        <v>45967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22740-2025</t>
        </is>
      </c>
      <c r="B119" s="1" t="n">
        <v>45789.59407407408</v>
      </c>
      <c r="C119" s="1" t="n">
        <v>45967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22730-2025</t>
        </is>
      </c>
      <c r="B120" s="1" t="n">
        <v>45789.57819444445</v>
      </c>
      <c r="C120" s="1" t="n">
        <v>45967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30910-2023</t>
        </is>
      </c>
      <c r="B121" s="1" t="n">
        <v>45113</v>
      </c>
      <c r="C121" s="1" t="n">
        <v>45967</v>
      </c>
      <c r="D121" t="inlineStr">
        <is>
          <t>STOCKHOLMS LÄN</t>
        </is>
      </c>
      <c r="E121" t="inlineStr">
        <is>
          <t>NYNÄSHAMN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50956-2025</t>
        </is>
      </c>
      <c r="B122" s="1" t="n">
        <v>45946.78206018519</v>
      </c>
      <c r="C122" s="1" t="n">
        <v>45967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37103-2021</t>
        </is>
      </c>
      <c r="B123" s="1" t="n">
        <v>44396</v>
      </c>
      <c r="C123" s="1" t="n">
        <v>45967</v>
      </c>
      <c r="D123" t="inlineStr">
        <is>
          <t>STOCKHOLMS LÄN</t>
        </is>
      </c>
      <c r="E123" t="inlineStr">
        <is>
          <t>NYNÄSHAMN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45967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17634-2022</t>
        </is>
      </c>
      <c r="B125" s="1" t="n">
        <v>44680</v>
      </c>
      <c r="C125" s="1" t="n">
        <v>45967</v>
      </c>
      <c r="D125" t="inlineStr">
        <is>
          <t>STOCKHOLMS LÄN</t>
        </is>
      </c>
      <c r="E125" t="inlineStr">
        <is>
          <t>NYNÄSHAMN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44619-2023</t>
        </is>
      </c>
      <c r="B126" s="1" t="n">
        <v>45189</v>
      </c>
      <c r="C126" s="1" t="n">
        <v>45967</v>
      </c>
      <c r="D126" t="inlineStr">
        <is>
          <t>STOCKHOLMS LÄN</t>
        </is>
      </c>
      <c r="E126" t="inlineStr">
        <is>
          <t>NYNÄSHAMN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37098-2021</t>
        </is>
      </c>
      <c r="B127" s="1" t="n">
        <v>44396</v>
      </c>
      <c r="C127" s="1" t="n">
        <v>45967</v>
      </c>
      <c r="D127" t="inlineStr">
        <is>
          <t>STOCKHOLMS LÄN</t>
        </is>
      </c>
      <c r="E127" t="inlineStr">
        <is>
          <t>NYNÄSHAMN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64411-2023</t>
        </is>
      </c>
      <c r="B128" s="1" t="n">
        <v>45280.63304398148</v>
      </c>
      <c r="C128" s="1" t="n">
        <v>45967</v>
      </c>
      <c r="D128" t="inlineStr">
        <is>
          <t>STOCKHOLMS LÄN</t>
        </is>
      </c>
      <c r="E128" t="inlineStr">
        <is>
          <t>NYNÄSHAMN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45967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44206-2024</t>
        </is>
      </c>
      <c r="B130" s="1" t="n">
        <v>45573</v>
      </c>
      <c r="C130" s="1" t="n">
        <v>45967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31808-2023</t>
        </is>
      </c>
      <c r="B131" s="1" t="n">
        <v>45118.47105324074</v>
      </c>
      <c r="C131" s="1" t="n">
        <v>45967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51954-2025</t>
        </is>
      </c>
      <c r="B132" s="1" t="n">
        <v>45952</v>
      </c>
      <c r="C132" s="1" t="n">
        <v>45967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9062-2023</t>
        </is>
      </c>
      <c r="B133" s="1" t="n">
        <v>44979.72369212963</v>
      </c>
      <c r="C133" s="1" t="n">
        <v>45967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45967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47128-2023</t>
        </is>
      </c>
      <c r="B135" s="1" t="n">
        <v>45196</v>
      </c>
      <c r="C135" s="1" t="n">
        <v>45967</v>
      </c>
      <c r="D135" t="inlineStr">
        <is>
          <t>STOCKHOLMS LÄN</t>
        </is>
      </c>
      <c r="E135" t="inlineStr">
        <is>
          <t>NYNÄSHAMN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2367-2023</t>
        </is>
      </c>
      <c r="B136" s="1" t="n">
        <v>44942.67042824074</v>
      </c>
      <c r="C136" s="1" t="n">
        <v>45967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44624-2023</t>
        </is>
      </c>
      <c r="B137" s="1" t="n">
        <v>45184</v>
      </c>
      <c r="C137" s="1" t="n">
        <v>45967</v>
      </c>
      <c r="D137" t="inlineStr">
        <is>
          <t>STOCKHOLMS LÄN</t>
        </is>
      </c>
      <c r="E137" t="inlineStr">
        <is>
          <t>NYNÄSHAMN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9017-2023</t>
        </is>
      </c>
      <c r="B138" s="1" t="n">
        <v>44979</v>
      </c>
      <c r="C138" s="1" t="n">
        <v>45967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32074-2023</t>
        </is>
      </c>
      <c r="B139" s="1" t="n">
        <v>45119</v>
      </c>
      <c r="C139" s="1" t="n">
        <v>45967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45967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41281-2021</t>
        </is>
      </c>
      <c r="B141" s="1" t="n">
        <v>44424</v>
      </c>
      <c r="C141" s="1" t="n">
        <v>45967</v>
      </c>
      <c r="D141" t="inlineStr">
        <is>
          <t>STOCKHOLMS LÄN</t>
        </is>
      </c>
      <c r="E141" t="inlineStr">
        <is>
          <t>NYNÄSHAMN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35356-2023</t>
        </is>
      </c>
      <c r="B142" s="1" t="n">
        <v>45146.51179398148</v>
      </c>
      <c r="C142" s="1" t="n">
        <v>45967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29811-2025</t>
        </is>
      </c>
      <c r="B143" s="1" t="n">
        <v>45825</v>
      </c>
      <c r="C143" s="1" t="n">
        <v>45967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45967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45967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45967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10224-2023</t>
        </is>
      </c>
      <c r="B147" s="1" t="n">
        <v>44986.61554398148</v>
      </c>
      <c r="C147" s="1" t="n">
        <v>45967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45967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45967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45967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45967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45967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13945-2025</t>
        </is>
      </c>
      <c r="B153" s="1" t="n">
        <v>45737.71512731481</v>
      </c>
      <c r="C153" s="1" t="n">
        <v>45967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35483-2025</t>
        </is>
      </c>
      <c r="B154" s="1" t="n">
        <v>45855</v>
      </c>
      <c r="C154" s="1" t="n">
        <v>45967</v>
      </c>
      <c r="D154" t="inlineStr">
        <is>
          <t>STOCKHOLMS LÄN</t>
        </is>
      </c>
      <c r="E154" t="inlineStr">
        <is>
          <t>NYNÄSHAMN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45967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36468-2025</t>
        </is>
      </c>
      <c r="B156" s="1" t="n">
        <v>45869.47163194444</v>
      </c>
      <c r="C156" s="1" t="n">
        <v>45967</v>
      </c>
      <c r="D156" t="inlineStr">
        <is>
          <t>STOCKHOLMS LÄN</t>
        </is>
      </c>
      <c r="E156" t="inlineStr">
        <is>
          <t>NYNÄSHAMN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36509-2025</t>
        </is>
      </c>
      <c r="B157" s="1" t="n">
        <v>45869.57434027778</v>
      </c>
      <c r="C157" s="1" t="n">
        <v>45967</v>
      </c>
      <c r="D157" t="inlineStr">
        <is>
          <t>STOCKHOLMS LÄN</t>
        </is>
      </c>
      <c r="E157" t="inlineStr">
        <is>
          <t>NYNÄSHAMN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45967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52950-2024</t>
        </is>
      </c>
      <c r="B159" s="1" t="n">
        <v>45610.89103009259</v>
      </c>
      <c r="C159" s="1" t="n">
        <v>45967</v>
      </c>
      <c r="D159" t="inlineStr">
        <is>
          <t>STOCKHOLMS LÄN</t>
        </is>
      </c>
      <c r="E159" t="inlineStr">
        <is>
          <t>NYNÄSHAMN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2025-11-06T10:18:56Z</dcterms:created>
  <dcterms:modified xmlns:dcterms="http://purl.org/dc/terms/" xmlns:xsi="http://www.w3.org/2001/XMLSchema-instance" xsi:type="dcterms:W3CDTF">2025-11-06T10:18:56Z</dcterms:modified>
</cp:coreProperties>
</file>