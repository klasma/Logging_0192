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46326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33066-2026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46245</v>
      </c>
      <c r="E3" s="1" t="n">
        <v>46326</v>
      </c>
      <c r="F3" t="inlineStr">
        <is>
          <t>STOCKHOLMS LÄN</t>
        </is>
      </c>
      <c r="G3" t="inlineStr">
        <is>
          <t>NYNÄSHAMN</t>
        </is>
      </c>
      <c r="I3" t="n">
        <v>5.4</v>
      </c>
      <c r="J3" t="n">
        <v>1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11</v>
      </c>
      <c r="T3" t="n">
        <v>20</v>
      </c>
      <c r="U3" t="n">
        <v>14</v>
      </c>
      <c r="V3" s="2" t="inlineStr">
        <is>
          <t>Garnlav
Kortskaftad ärgspik
Motaggsvamp
Tallticka
Ullticka
Vaddporing
Vedskivlav
Bronshjon
Grovticka
Vedticka
Tjäder</t>
        </is>
      </c>
      <c r="W3">
        <f>HYPERLINK("https://klasma.github.io/Logging_0192/artfynd/A 33066-2026 artfynd.xlsx", "A 33066-2026")</f>
        <v/>
      </c>
      <c r="X3">
        <f>HYPERLINK("https://klasma.github.io/Logging_0192/kartor/A 33066-2026 karta.png", "A 33066-2026")</f>
        <v/>
      </c>
      <c r="Y3">
        <f>HYPERLINK("https://klasma.github.io/Logging_0192/kartor_geotiff/A 33066-2026 georefererad karta.tif", "A 33066-2026")</f>
        <v/>
      </c>
      <c r="AA3">
        <f>HYPERLINK("https://klasma.github.io/Logging_0192/klagomål/A 33066-2026 FSC-klagomål.docx", "A 33066-2026")</f>
        <v/>
      </c>
      <c r="AB3">
        <f>HYPERLINK("https://klasma.github.io/Logging_0192/klagomålsmail/A 33066-2026 FSC-klagomål mail.docx", "A 33066-2026")</f>
        <v/>
      </c>
      <c r="AC3">
        <f>HYPERLINK("https://klasma.github.io/Logging_0192/tillsyn/A 33066-2026 tillsynsbegäran.docx", "A 33066-2026")</f>
        <v/>
      </c>
      <c r="AD3">
        <f>HYPERLINK("https://klasma.github.io/Logging_0192/tillsynsmail/A 33066-2026 tillsynsbegäran mail.docx", "A 33066-2026")</f>
        <v/>
      </c>
      <c r="AE3">
        <f>HYPERLINK("https://klasma.github.io/Logging_0192/fåglar/A 33066-2026 prioriterade fågelarter.docx", "A 33066-2026")</f>
        <v/>
      </c>
    </row>
    <row r="4" ht="15" customHeight="1">
      <c r="A4" t="inlineStr">
        <is>
          <t>A 1212-2023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44935</v>
      </c>
      <c r="E4" s="1" t="n">
        <v>46326</v>
      </c>
      <c r="F4" t="inlineStr">
        <is>
          <t>STOCKHOLMS LÄN</t>
        </is>
      </c>
      <c r="G4" t="inlineStr">
        <is>
          <t>NYNÄSHAMN</t>
        </is>
      </c>
      <c r="I4" t="n">
        <v>3.9</v>
      </c>
      <c r="J4" t="n">
        <v>4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10</v>
      </c>
      <c r="T4" t="n">
        <v>16</v>
      </c>
      <c r="U4" t="n">
        <v>15</v>
      </c>
      <c r="V4" s="2" t="inlineStr">
        <is>
          <t>Knärot
Kattfotslav
Sårläka
Grön sköldmossa
Hasselticka
Kornknutmossa
Skogsknipprot
Stor revmossa
Västlig hakmossa
Blåsippa</t>
        </is>
      </c>
      <c r="W4">
        <f>HYPERLINK("https://klasma.github.io/Logging_0192/artfynd/A 1212-2023 artfynd.xlsx", "A 1212-2023")</f>
        <v/>
      </c>
      <c r="X4">
        <f>HYPERLINK("https://klasma.github.io/Logging_0192/kartor/A 1212-2023 karta.png", "A 1212-2023")</f>
        <v/>
      </c>
      <c r="Y4">
        <f>HYPERLINK("https://klasma.github.io/Logging_0192/kartor_geotiff/A 1212-2023 georefererad karta.tif", "A 1212-2023")</f>
        <v/>
      </c>
      <c r="Z4">
        <f>HYPERLINK("https://klasma.github.io/Logging_0192/knärot/A 1212-2023 karta knärot.png", "A 1212-2023")</f>
        <v/>
      </c>
      <c r="AA4">
        <f>HYPERLINK("https://klasma.github.io/Logging_0192/klagomål/A 1212-2023 FSC-klagomål.docx", "A 1212-2023")</f>
        <v/>
      </c>
      <c r="AB4">
        <f>HYPERLINK("https://klasma.github.io/Logging_0192/klagomålsmail/A 1212-2023 FSC-klagomål mail.docx", "A 1212-2023")</f>
        <v/>
      </c>
      <c r="AC4">
        <f>HYPERLINK("https://klasma.github.io/Logging_0192/tillsyn/A 1212-2023 tillsynsbegäran.docx", "A 1212-2023")</f>
        <v/>
      </c>
      <c r="AD4">
        <f>HYPERLINK("https://klasma.github.io/Logging_0192/tillsynsmail/A 1212-2023 tillsynsbegäran mail.docx", "A 1212-2023")</f>
        <v/>
      </c>
    </row>
    <row r="5" ht="15" customHeight="1">
      <c r="A5" t="inlineStr">
        <is>
          <t>A 31142-2023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46326</v>
      </c>
      <c r="F5" t="inlineStr">
        <is>
          <t>STOCKHOLMS LÄN</t>
        </is>
      </c>
      <c r="G5" t="inlineStr">
        <is>
          <t>NYNÄSHAMN</t>
        </is>
      </c>
      <c r="I5" t="n">
        <v>5.7</v>
      </c>
      <c r="J5" t="n">
        <v>6</v>
      </c>
      <c r="K5" t="n">
        <v>0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0</v>
      </c>
      <c r="V5" s="2" t="inlineStr">
        <is>
          <t>Ask
Skogsalm
Entita
Jungfrulin
Talltita
Gröngöling
Grönsiska
Havsörn
Kungsfågel</t>
        </is>
      </c>
      <c r="W5">
        <f>HYPERLINK("https://klasma.github.io/Logging_0192/artfynd/A 31142-2023 artfynd.xlsx", "A 31142-2023")</f>
        <v/>
      </c>
      <c r="X5">
        <f>HYPERLINK("https://klasma.github.io/Logging_0192/kartor/A 31142-2023 karta.png", "A 31142-2023")</f>
        <v/>
      </c>
      <c r="Y5">
        <f>HYPERLINK("https://klasma.github.io/Logging_0192/kartor_geotiff/A 31142-2023 georefererad karta.tif", "A 31142-2023")</f>
        <v/>
      </c>
      <c r="AA5">
        <f>HYPERLINK("https://klasma.github.io/Logging_0192/klagomål/A 31142-2023 FSC-klagomål.docx", "A 31142-2023")</f>
        <v/>
      </c>
      <c r="AB5">
        <f>HYPERLINK("https://klasma.github.io/Logging_0192/klagomålsmail/A 31142-2023 FSC-klagomål mail.docx", "A 31142-2023")</f>
        <v/>
      </c>
      <c r="AC5">
        <f>HYPERLINK("https://klasma.github.io/Logging_0192/tillsyn/A 31142-2023 tillsynsbegäran.docx", "A 31142-2023")</f>
        <v/>
      </c>
      <c r="AD5">
        <f>HYPERLINK("https://klasma.github.io/Logging_0192/tillsynsmail/A 31142-2023 tillsynsbegäran mail.docx", "A 31142-2023")</f>
        <v/>
      </c>
      <c r="AE5">
        <f>HYPERLINK("https://klasma.github.io/Logging_0192/fåglar/A 31142-2023 prioriterade fågelarter.docx", "A 31142-2023")</f>
        <v/>
      </c>
    </row>
    <row r="6" ht="15" customHeight="1">
      <c r="A6" t="inlineStr">
        <is>
          <t>A 60057-2023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45257</v>
      </c>
      <c r="E6" s="1" t="n">
        <v>46326</v>
      </c>
      <c r="F6" t="inlineStr">
        <is>
          <t>STOCKHOLMS LÄN</t>
        </is>
      </c>
      <c r="G6" t="inlineStr">
        <is>
          <t>NYNÄSHAMN</t>
        </is>
      </c>
      <c r="I6" t="n">
        <v>2.3</v>
      </c>
      <c r="J6" t="n">
        <v>8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9</v>
      </c>
      <c r="U6" t="n">
        <v>1</v>
      </c>
      <c r="V6" s="2" t="inlineStr">
        <is>
          <t>Grönfink
Stare
Björktrast
Ladusvala
Rödvingetrast
Tibast
Havsörn
Trana
Törnskata</t>
        </is>
      </c>
      <c r="W6">
        <f>HYPERLINK("https://klasma.github.io/Logging_0192/artfynd/A 60057-2023 artfynd.xlsx", "A 60057-2023")</f>
        <v/>
      </c>
      <c r="X6">
        <f>HYPERLINK("https://klasma.github.io/Logging_0192/kartor/A 60057-2023 karta.png", "A 60057-2023")</f>
        <v/>
      </c>
      <c r="Y6">
        <f>HYPERLINK("https://klasma.github.io/Logging_0192/kartor_geotiff/A 60057-2023 georefererad karta.tif", "A 60057-2023")</f>
        <v/>
      </c>
      <c r="AA6">
        <f>HYPERLINK("https://klasma.github.io/Logging_0192/klagomål/A 60057-2023 FSC-klagomål.docx", "A 60057-2023")</f>
        <v/>
      </c>
      <c r="AB6">
        <f>HYPERLINK("https://klasma.github.io/Logging_0192/klagomålsmail/A 60057-2023 FSC-klagomål mail.docx", "A 60057-2023")</f>
        <v/>
      </c>
      <c r="AC6">
        <f>HYPERLINK("https://klasma.github.io/Logging_0192/tillsyn/A 60057-2023 tillsynsbegäran.docx", "A 60057-2023")</f>
        <v/>
      </c>
      <c r="AD6">
        <f>HYPERLINK("https://klasma.github.io/Logging_0192/tillsynsmail/A 60057-2023 tillsynsbegäran mail.docx", "A 60057-2023")</f>
        <v/>
      </c>
      <c r="AE6">
        <f>HYPERLINK("https://klasma.github.io/Logging_0192/fåglar/A 60057-2023 prioriterade fågelarter.docx", "A 60057-2023")</f>
        <v/>
      </c>
    </row>
    <row r="7" ht="15" customHeight="1">
      <c r="A7" t="inlineStr">
        <is>
          <t>S 2695-2024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45482</v>
      </c>
      <c r="E7" s="1" t="n">
        <v>46326</v>
      </c>
      <c r="F7" t="inlineStr">
        <is>
          <t>STOCKHOLMS LÄN</t>
        </is>
      </c>
      <c r="G7" t="inlineStr">
        <is>
          <t>NYNÄSHAMN</t>
        </is>
      </c>
      <c r="I7" t="n">
        <v>5.7</v>
      </c>
      <c r="J7" t="n">
        <v>3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15</v>
      </c>
      <c r="U7" t="n">
        <v>3</v>
      </c>
      <c r="V7" s="2" t="inlineStr">
        <is>
          <t>Skogskorn
Blekticka
Svinrot
Hasselsopp
Skogsknipprot
Svart trolldruva
Blåsippa
Gullviva</t>
        </is>
      </c>
      <c r="W7">
        <f>HYPERLINK("https://klasma.github.io/Logging_0192/artfynd/S 2695-2024 artfynd.xlsx", "S 2695-2024")</f>
        <v/>
      </c>
      <c r="X7">
        <f>HYPERLINK("https://klasma.github.io/Logging_0192/kartor/S 2695-2024 karta.png", "S 2695-2024")</f>
        <v/>
      </c>
      <c r="Y7">
        <f>HYPERLINK("https://klasma.github.io/Logging_0192/kartor_geotiff/S 2695-2024 georefererad karta.tif", "S 2695-2024")</f>
        <v/>
      </c>
      <c r="AA7">
        <f>HYPERLINK("https://klasma.github.io/Logging_0192/klagomål/S 2695-2024 FSC-klagomål.docx", "S 2695-2024")</f>
        <v/>
      </c>
      <c r="AB7">
        <f>HYPERLINK("https://klasma.github.io/Logging_0192/klagomålsmail/S 2695-2024 FSC-klagomål mail.docx", "S 2695-2024")</f>
        <v/>
      </c>
      <c r="AC7">
        <f>HYPERLINK("https://klasma.github.io/Logging_0192/tillsyn/S 2695-2024 tillsynsbegäran.docx", "S 2695-2024")</f>
        <v/>
      </c>
      <c r="AD7">
        <f>HYPERLINK("https://klasma.github.io/Logging_0192/tillsynsmail/S 2695-2024 tillsynsbegäran mail.docx", "S 2695-2024")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46326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46326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18378-2026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46125</v>
      </c>
      <c r="E10" s="1" t="n">
        <v>46326</v>
      </c>
      <c r="F10" t="inlineStr">
        <is>
          <t>STOCKHOLMS LÄN</t>
        </is>
      </c>
      <c r="G10" t="inlineStr">
        <is>
          <t>NYNÄSHAMN</t>
        </is>
      </c>
      <c r="H10" t="inlineStr">
        <is>
          <t>Kommuner</t>
        </is>
      </c>
      <c r="I10" t="n">
        <v>7.5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65</v>
      </c>
      <c r="U10" t="n">
        <v>0</v>
      </c>
      <c r="V10" s="2" t="inlineStr">
        <is>
          <t>Jungfrulin
Noshornsoxe
Skogsknipprot
Dvärgpipistrell
Huggorm
Vanlig snok
Gullviva</t>
        </is>
      </c>
      <c r="W10">
        <f>HYPERLINK("https://klasma.github.io/Logging_0192/artfynd/A 18378-2026 artfynd.xlsx", "A 18378-2026")</f>
        <v/>
      </c>
      <c r="X10">
        <f>HYPERLINK("https://klasma.github.io/Logging_0192/kartor/A 18378-2026 karta.png", "A 18378-2026")</f>
        <v/>
      </c>
      <c r="Y10">
        <f>HYPERLINK("https://klasma.github.io/Logging_0192/kartor_geotiff/A 18378-2026 georefererad karta.tif", "A 18378-2026")</f>
        <v/>
      </c>
      <c r="AA10">
        <f>HYPERLINK("https://klasma.github.io/Logging_0192/klagomål/A 18378-2026 FSC-klagomål.docx", "A 18378-2026")</f>
        <v/>
      </c>
      <c r="AB10">
        <f>HYPERLINK("https://klasma.github.io/Logging_0192/klagomålsmail/A 18378-2026 FSC-klagomål mail.docx", "A 18378-2026")</f>
        <v/>
      </c>
      <c r="AC10">
        <f>HYPERLINK("https://klasma.github.io/Logging_0192/tillsyn/A 18378-2026 tillsynsbegäran.docx", "A 18378-2026")</f>
        <v/>
      </c>
      <c r="AD10">
        <f>HYPERLINK("https://klasma.github.io/Logging_0192/tillsynsmail/A 18378-2026 tillsynsbegäran mail.docx", "A 18378-2026")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46326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46326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46326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46326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46326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46326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46326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46326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46326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46326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12033-2026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46326</v>
      </c>
      <c r="F21" t="inlineStr">
        <is>
          <t>STOCKHOLMS LÄN</t>
        </is>
      </c>
      <c r="G21" t="inlineStr">
        <is>
          <t>NYNÄSHAMN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Fjällvråk
Havsörn</t>
        </is>
      </c>
      <c r="W21">
        <f>HYPERLINK("https://klasma.github.io/Logging_0192/artfynd/A 12033-2026 artfynd.xlsx", "A 12033-2026")</f>
        <v/>
      </c>
      <c r="X21">
        <f>HYPERLINK("https://klasma.github.io/Logging_0192/kartor/A 12033-2026 karta.png", "A 12033-2026")</f>
        <v/>
      </c>
      <c r="Y21">
        <f>HYPERLINK("https://klasma.github.io/Logging_0192/kartor_geotiff/A 12033-2026 georefererad karta.tif", "A 12033-2026")</f>
        <v/>
      </c>
      <c r="AA21">
        <f>HYPERLINK("https://klasma.github.io/Logging_0192/klagomål/A 12033-2026 FSC-klagomål.docx", "A 12033-2026")</f>
        <v/>
      </c>
      <c r="AB21">
        <f>HYPERLINK("https://klasma.github.io/Logging_0192/klagomålsmail/A 12033-2026 FSC-klagomål mail.docx", "A 12033-2026")</f>
        <v/>
      </c>
      <c r="AC21">
        <f>HYPERLINK("https://klasma.github.io/Logging_0192/tillsyn/A 12033-2026 tillsynsbegäran.docx", "A 12033-2026")</f>
        <v/>
      </c>
      <c r="AD21">
        <f>HYPERLINK("https://klasma.github.io/Logging_0192/tillsynsmail/A 12033-2026 tillsynsbegäran mail.docx", "A 12033-2026")</f>
        <v/>
      </c>
      <c r="AE21">
        <f>HYPERLINK("https://klasma.github.io/Logging_0192/fåglar/A 12033-2026 prioriterade fågelarter.docx", "A 12033-2026")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46326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46326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46326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46326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46326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46326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46326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46326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46326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46326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46326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46326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46326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46326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6435-2023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46326</v>
      </c>
      <c r="F36" t="inlineStr">
        <is>
          <t>STOCKHOLMS LÄN</t>
        </is>
      </c>
      <c r="G36" t="inlineStr">
        <is>
          <t>NYNÄSHAMN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HYPERLINK("https://klasma.github.io/Logging_0192/artfynd/A 6435-2023 artfynd.xlsx", "A 6435-2023")</f>
        <v/>
      </c>
      <c r="X36">
        <f>HYPERLINK("https://klasma.github.io/Logging_0192/kartor/A 6435-2023 karta.png", "A 6435-2023")</f>
        <v/>
      </c>
      <c r="Y36">
        <f>HYPERLINK("https://klasma.github.io/Logging_0192/kartor_geotiff/A 6435-2023 georefererad karta.tif", "A 6435-2023")</f>
        <v/>
      </c>
      <c r="AA36">
        <f>HYPERLINK("https://klasma.github.io/Logging_0192/klagomål/A 6435-2023 FSC-klagomål.docx", "A 6435-2023")</f>
        <v/>
      </c>
      <c r="AB36">
        <f>HYPERLINK("https://klasma.github.io/Logging_0192/klagomålsmail/A 6435-2023 FSC-klagomål mail.docx", "A 6435-2023")</f>
        <v/>
      </c>
      <c r="AC36">
        <f>HYPERLINK("https://klasma.github.io/Logging_0192/tillsyn/A 6435-2023 tillsynsbegäran.docx", "A 6435-2023")</f>
        <v/>
      </c>
      <c r="AD36">
        <f>HYPERLINK("https://klasma.github.io/Logging_0192/tillsynsmail/A 6435-2023 tillsynsbegäran mail.docx", "A 6435-2023")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46326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46326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46326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46326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46326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46326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46326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45747</v>
      </c>
      <c r="E44" s="1" t="n">
        <v>46326</v>
      </c>
      <c r="F44" t="inlineStr">
        <is>
          <t>STOCKHOLMS LÄN</t>
        </is>
      </c>
      <c r="G44" t="inlineStr">
        <is>
          <t>NYNÄSHAMN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46326</v>
      </c>
      <c r="F45" t="inlineStr">
        <is>
          <t>STOCKHOLMS LÄN</t>
        </is>
      </c>
      <c r="G45" t="inlineStr">
        <is>
          <t>NYNÄSHAMN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26190-2022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44735</v>
      </c>
      <c r="E46" s="1" t="n">
        <v>46326</v>
      </c>
      <c r="F46" t="inlineStr">
        <is>
          <t>STOCKHOLMS LÄN</t>
        </is>
      </c>
      <c r="G46" t="inlineStr">
        <is>
          <t>NYNÄSHAMN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46326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45344</v>
      </c>
      <c r="E48" s="1" t="n">
        <v>46326</v>
      </c>
      <c r="F48" t="inlineStr">
        <is>
          <t>STOCKHOLMS LÄN</t>
        </is>
      </c>
      <c r="G48" t="inlineStr">
        <is>
          <t>NYNÄSHAMN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44942</v>
      </c>
      <c r="E49" s="1" t="n">
        <v>46326</v>
      </c>
      <c r="F49" t="inlineStr">
        <is>
          <t>STOCKHOLMS LÄN</t>
        </is>
      </c>
      <c r="G49" t="inlineStr">
        <is>
          <t>NYNÄSHAMN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46326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45469</v>
      </c>
      <c r="E51" s="1" t="n">
        <v>46326</v>
      </c>
      <c r="F51" t="inlineStr">
        <is>
          <t>STOCKHOLMS LÄN</t>
        </is>
      </c>
      <c r="G51" t="inlineStr">
        <is>
          <t>NYNÄSHAMN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9020-2023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46326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29811-2025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46326</v>
      </c>
      <c r="F53" t="inlineStr">
        <is>
          <t>STOCKHOLMS LÄN</t>
        </is>
      </c>
      <c r="G53" t="inlineStr">
        <is>
          <t>NYNÄSHAMN</t>
        </is>
      </c>
      <c r="H53" t="inlineStr">
        <is>
          <t>Övriga statliga verk och myndigheter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52953-2024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45610</v>
      </c>
      <c r="E54" s="1" t="n">
        <v>46326</v>
      </c>
      <c r="F54" t="inlineStr">
        <is>
          <t>STOCKHOLMS LÄN</t>
        </is>
      </c>
      <c r="G54" t="inlineStr">
        <is>
          <t>NYNÄSHAMN</t>
        </is>
      </c>
      <c r="I54" t="n">
        <v>6.4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13945-2025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45737</v>
      </c>
      <c r="E55" s="1" t="n">
        <v>46326</v>
      </c>
      <c r="F55" t="inlineStr">
        <is>
          <t>STOCKHOLMS LÄN</t>
        </is>
      </c>
      <c r="G55" t="inlineStr">
        <is>
          <t>NYNÄSHAMN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63931-2021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46326</v>
      </c>
      <c r="F56" t="inlineStr">
        <is>
          <t>STOCKHOLMS LÄN</t>
        </is>
      </c>
      <c r="G56" t="inlineStr">
        <is>
          <t>NYNÄSHAMN</t>
        </is>
      </c>
      <c r="H56" t="inlineStr">
        <is>
          <t>Kommuner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62038-2023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45266</v>
      </c>
      <c r="E57" s="1" t="n">
        <v>46326</v>
      </c>
      <c r="F57" t="inlineStr">
        <is>
          <t>STOCKHOLMS LÄN</t>
        </is>
      </c>
      <c r="G57" t="inlineStr">
        <is>
          <t>NYNÄSHAMN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46857-2025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45928</v>
      </c>
      <c r="E58" s="1" t="n">
        <v>46326</v>
      </c>
      <c r="F58" t="inlineStr">
        <is>
          <t>STOCKHOLMS LÄN</t>
        </is>
      </c>
      <c r="G58" t="inlineStr">
        <is>
          <t>NYNÄSHAMN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45196</v>
      </c>
      <c r="E59" s="1" t="n">
        <v>46326</v>
      </c>
      <c r="F59" t="inlineStr">
        <is>
          <t>STOCKHOLMS LÄN</t>
        </is>
      </c>
      <c r="G59" t="inlineStr">
        <is>
          <t>NYNÄSHAMN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36496-2025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45869</v>
      </c>
      <c r="E60" s="1" t="n">
        <v>46326</v>
      </c>
      <c r="F60" t="inlineStr">
        <is>
          <t>STOCKHOLMS LÄN</t>
        </is>
      </c>
      <c r="G60" t="inlineStr">
        <is>
          <t>NYNÄSHAMN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36468-2025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45869</v>
      </c>
      <c r="E61" s="1" t="n">
        <v>46326</v>
      </c>
      <c r="F61" t="inlineStr">
        <is>
          <t>STOCKHOLMS LÄN</t>
        </is>
      </c>
      <c r="G61" t="inlineStr">
        <is>
          <t>NYNÄSHAMN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45935</v>
      </c>
      <c r="E62" s="1" t="n">
        <v>46326</v>
      </c>
      <c r="F62" t="inlineStr">
        <is>
          <t>STOCKHOLMS LÄN</t>
        </is>
      </c>
      <c r="G62" t="inlineStr">
        <is>
          <t>NYNÄSHAMN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46052</v>
      </c>
      <c r="E63" s="1" t="n">
        <v>46326</v>
      </c>
      <c r="F63" t="inlineStr">
        <is>
          <t>STOCKHOLMS LÄN</t>
        </is>
      </c>
      <c r="G63" t="inlineStr">
        <is>
          <t>NYNÄSHAMN</t>
        </is>
      </c>
      <c r="H63" t="inlineStr">
        <is>
          <t>Kyrkan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46326</v>
      </c>
      <c r="F64" t="inlineStr">
        <is>
          <t>STOCKHOLMS LÄN</t>
        </is>
      </c>
      <c r="G64" t="inlineStr">
        <is>
          <t>NYNÄSHAMN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51954-2025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45952</v>
      </c>
      <c r="E65" s="1" t="n">
        <v>46326</v>
      </c>
      <c r="F65" t="inlineStr">
        <is>
          <t>STOCKHOLMS LÄN</t>
        </is>
      </c>
      <c r="G65" t="inlineStr">
        <is>
          <t>NYNÄSHAMN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36052-2023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45149</v>
      </c>
      <c r="E66" s="1" t="n">
        <v>46326</v>
      </c>
      <c r="F66" t="inlineStr">
        <is>
          <t>STOCKHOLMS LÄN</t>
        </is>
      </c>
      <c r="G66" t="inlineStr">
        <is>
          <t>NYNÄSHAMN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45400</v>
      </c>
      <c r="E67" s="1" t="n">
        <v>46326</v>
      </c>
      <c r="F67" t="inlineStr">
        <is>
          <t>STOCKHOLMS LÄN</t>
        </is>
      </c>
      <c r="G67" t="inlineStr">
        <is>
          <t>NYNÄSHAMN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56210-2025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45974</v>
      </c>
      <c r="E68" s="1" t="n">
        <v>46326</v>
      </c>
      <c r="F68" t="inlineStr">
        <is>
          <t>STOCKHOLMS LÄN</t>
        </is>
      </c>
      <c r="G68" t="inlineStr">
        <is>
          <t>NYNÄSHAMN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56385-2025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45974</v>
      </c>
      <c r="E69" s="1" t="n">
        <v>46326</v>
      </c>
      <c r="F69" t="inlineStr">
        <is>
          <t>STOCKHOLMS LÄN</t>
        </is>
      </c>
      <c r="G69" t="inlineStr">
        <is>
          <t>NYNÄSHAMN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44602</v>
      </c>
      <c r="E70" s="1" t="n">
        <v>46326</v>
      </c>
      <c r="F70" t="inlineStr">
        <is>
          <t>STOCKHOLMS LÄN</t>
        </is>
      </c>
      <c r="G70" t="inlineStr">
        <is>
          <t>NYNÄSHAMN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17990-2024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45419</v>
      </c>
      <c r="E71" s="1" t="n">
        <v>46326</v>
      </c>
      <c r="F71" t="inlineStr">
        <is>
          <t>STOCKHOLMS LÄN</t>
        </is>
      </c>
      <c r="G71" t="inlineStr">
        <is>
          <t>NYNÄSHAMN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64411-2023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45280</v>
      </c>
      <c r="E72" s="1" t="n">
        <v>46326</v>
      </c>
      <c r="F72" t="inlineStr">
        <is>
          <t>STOCKHOLMS LÄN</t>
        </is>
      </c>
      <c r="G72" t="inlineStr">
        <is>
          <t>NYNÄSHAMN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41677-2023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45173</v>
      </c>
      <c r="E73" s="1" t="n">
        <v>46326</v>
      </c>
      <c r="F73" t="inlineStr">
        <is>
          <t>STOCKHOLMS LÄN</t>
        </is>
      </c>
      <c r="G73" t="inlineStr">
        <is>
          <t>NYNÄSHAMN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45173</v>
      </c>
      <c r="E74" s="1" t="n">
        <v>46326</v>
      </c>
      <c r="F74" t="inlineStr">
        <is>
          <t>STOCKHOLMS LÄN</t>
        </is>
      </c>
      <c r="G74" t="inlineStr">
        <is>
          <t>NYNÄSHAMN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2170-2023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44941</v>
      </c>
      <c r="E75" s="1" t="n">
        <v>46326</v>
      </c>
      <c r="F75" t="inlineStr">
        <is>
          <t>STOCKHOLMS LÄN</t>
        </is>
      </c>
      <c r="G75" t="inlineStr">
        <is>
          <t>NYNÄSHAMN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21192-2023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45062</v>
      </c>
      <c r="E76" s="1" t="n">
        <v>46326</v>
      </c>
      <c r="F76" t="inlineStr">
        <is>
          <t>STOCKHOLMS LÄN</t>
        </is>
      </c>
      <c r="G76" t="inlineStr">
        <is>
          <t>NYNÄSHAMN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46326</v>
      </c>
      <c r="F77" t="inlineStr">
        <is>
          <t>STOCKHOLMS LÄN</t>
        </is>
      </c>
      <c r="G77" t="inlineStr">
        <is>
          <t>NYNÄSHAMN</t>
        </is>
      </c>
      <c r="H77" t="inlineStr">
        <is>
          <t>Kommuner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25175-2023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45086</v>
      </c>
      <c r="E78" s="1" t="n">
        <v>46326</v>
      </c>
      <c r="F78" t="inlineStr">
        <is>
          <t>STOCKHOLMS LÄN</t>
        </is>
      </c>
      <c r="G78" t="inlineStr">
        <is>
          <t>NYNÄSHAMN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63463-2023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45274</v>
      </c>
      <c r="E79" s="1" t="n">
        <v>46326</v>
      </c>
      <c r="F79" t="inlineStr">
        <is>
          <t>STOCKHOLMS LÄN</t>
        </is>
      </c>
      <c r="G79" t="inlineStr">
        <is>
          <t>NYNÄSHAMN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18411-2025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45762</v>
      </c>
      <c r="E80" s="1" t="n">
        <v>46326</v>
      </c>
      <c r="F80" t="inlineStr">
        <is>
          <t>STOCKHOLMS LÄN</t>
        </is>
      </c>
      <c r="G80" t="inlineStr">
        <is>
          <t>NYNÄSHAMN</t>
        </is>
      </c>
      <c r="I80" t="n">
        <v>11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33667-2022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46326</v>
      </c>
      <c r="F81" t="inlineStr">
        <is>
          <t>STOCKHOLMS LÄN</t>
        </is>
      </c>
      <c r="G81" t="inlineStr">
        <is>
          <t>NYNÄSHAMN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60977-2022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44908</v>
      </c>
      <c r="E82" s="1" t="n">
        <v>46326</v>
      </c>
      <c r="F82" t="inlineStr">
        <is>
          <t>STOCKHOLMS LÄN</t>
        </is>
      </c>
      <c r="G82" t="inlineStr">
        <is>
          <t>NYNÄSHAMN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44957</v>
      </c>
      <c r="E83" s="1" t="n">
        <v>46326</v>
      </c>
      <c r="F83" t="inlineStr">
        <is>
          <t>STOCKHOLMS LÄN</t>
        </is>
      </c>
      <c r="G83" t="inlineStr">
        <is>
          <t>NYNÄSHAMN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62878-2023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45272</v>
      </c>
      <c r="E84" s="1" t="n">
        <v>46326</v>
      </c>
      <c r="F84" t="inlineStr">
        <is>
          <t>STOCKHOLMS LÄN</t>
        </is>
      </c>
      <c r="G84" t="inlineStr">
        <is>
          <t>NYNÄSHAMN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55871-2023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45239</v>
      </c>
      <c r="E85" s="1" t="n">
        <v>46326</v>
      </c>
      <c r="F85" t="inlineStr">
        <is>
          <t>STOCKHOLMS LÄN</t>
        </is>
      </c>
      <c r="G85" t="inlineStr">
        <is>
          <t>NYNÄSHAMN</t>
        </is>
      </c>
      <c r="H85" t="inlineStr">
        <is>
          <t>Kommuner</t>
        </is>
      </c>
      <c r="I85" t="n">
        <v>5.2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26505-2024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45469</v>
      </c>
      <c r="E86" s="1" t="n">
        <v>46326</v>
      </c>
      <c r="F86" t="inlineStr">
        <is>
          <t>STOCKHOLMS LÄN</t>
        </is>
      </c>
      <c r="G86" t="inlineStr">
        <is>
          <t>NYNÄSHAMN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45610</v>
      </c>
      <c r="E87" s="1" t="n">
        <v>46326</v>
      </c>
      <c r="F87" t="inlineStr">
        <is>
          <t>STOCKHOLMS LÄN</t>
        </is>
      </c>
      <c r="G87" t="inlineStr">
        <is>
          <t>NYNÄSHAMN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45139</v>
      </c>
      <c r="E88" s="1" t="n">
        <v>46326</v>
      </c>
      <c r="F88" t="inlineStr">
        <is>
          <t>STOCKHOLMS LÄN</t>
        </is>
      </c>
      <c r="G88" t="inlineStr">
        <is>
          <t>NYNÄSHAMN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34660-2023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45140</v>
      </c>
      <c r="E89" s="1" t="n">
        <v>46326</v>
      </c>
      <c r="F89" t="inlineStr">
        <is>
          <t>STOCKHOLMS LÄN</t>
        </is>
      </c>
      <c r="G89" t="inlineStr">
        <is>
          <t>NYNÄSHAMN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44624-2023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45184</v>
      </c>
      <c r="E90" s="1" t="n">
        <v>46326</v>
      </c>
      <c r="F90" t="inlineStr">
        <is>
          <t>STOCKHOLMS LÄN</t>
        </is>
      </c>
      <c r="G90" t="inlineStr">
        <is>
          <t>NYNÄSHAMN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45113</v>
      </c>
      <c r="E91" s="1" t="n">
        <v>46326</v>
      </c>
      <c r="F91" t="inlineStr">
        <is>
          <t>STOCKHOLMS LÄN</t>
        </is>
      </c>
      <c r="G91" t="inlineStr">
        <is>
          <t>NYNÄSHAMN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24595-2026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46170</v>
      </c>
      <c r="E92" s="1" t="n">
        <v>46326</v>
      </c>
      <c r="F92" t="inlineStr">
        <is>
          <t>STOCKHOLMS LÄN</t>
        </is>
      </c>
      <c r="G92" t="inlineStr">
        <is>
          <t>NYNÄSHAMN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41767-2024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45561</v>
      </c>
      <c r="E93" s="1" t="n">
        <v>46326</v>
      </c>
      <c r="F93" t="inlineStr">
        <is>
          <t>STOCKHOLMS LÄN</t>
        </is>
      </c>
      <c r="G93" t="inlineStr">
        <is>
          <t>NYNÄSHAMN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45280</v>
      </c>
      <c r="E94" s="1" t="n">
        <v>46326</v>
      </c>
      <c r="F94" t="inlineStr">
        <is>
          <t>STOCKHOLMS LÄN</t>
        </is>
      </c>
      <c r="G94" t="inlineStr">
        <is>
          <t>NYNÄSHAMN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47089-2023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45196</v>
      </c>
      <c r="E95" s="1" t="n">
        <v>46326</v>
      </c>
      <c r="F95" t="inlineStr">
        <is>
          <t>STOCKHOLMS LÄN</t>
        </is>
      </c>
      <c r="G95" t="inlineStr">
        <is>
          <t>NYNÄSHAMN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45209</v>
      </c>
      <c r="E96" s="1" t="n">
        <v>46326</v>
      </c>
      <c r="F96" t="inlineStr">
        <is>
          <t>STOCKHOLMS LÄN</t>
        </is>
      </c>
      <c r="G96" t="inlineStr">
        <is>
          <t>NYNÄSHAMN</t>
        </is>
      </c>
      <c r="H96" t="inlineStr">
        <is>
          <t>Kyrkan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17991-2024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45419</v>
      </c>
      <c r="E97" s="1" t="n">
        <v>46326</v>
      </c>
      <c r="F97" t="inlineStr">
        <is>
          <t>STOCKHOLMS LÄN</t>
        </is>
      </c>
      <c r="G97" t="inlineStr">
        <is>
          <t>NYNÄSHAMN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16793-2023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45028</v>
      </c>
      <c r="E98" s="1" t="n">
        <v>46326</v>
      </c>
      <c r="F98" t="inlineStr">
        <is>
          <t>STOCKHOLMS LÄN</t>
        </is>
      </c>
      <c r="G98" t="inlineStr">
        <is>
          <t>NYNÄSHAMN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12032-2026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46085</v>
      </c>
      <c r="E99" s="1" t="n">
        <v>46326</v>
      </c>
      <c r="F99" t="inlineStr">
        <is>
          <t>STOCKHOLMS LÄN</t>
        </is>
      </c>
      <c r="G99" t="inlineStr">
        <is>
          <t>NYNÄSHAMN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10224-2023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44986</v>
      </c>
      <c r="E100" s="1" t="n">
        <v>46326</v>
      </c>
      <c r="F100" t="inlineStr">
        <is>
          <t>STOCKHOLMS LÄN</t>
        </is>
      </c>
      <c r="G100" t="inlineStr">
        <is>
          <t>NYNÄSHAMN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44680</v>
      </c>
      <c r="E101" s="1" t="n">
        <v>46326</v>
      </c>
      <c r="F101" t="inlineStr">
        <is>
          <t>STOCKHOLMS LÄN</t>
        </is>
      </c>
      <c r="G101" t="inlineStr">
        <is>
          <t>NYNÄSHAMN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30476-2026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46210</v>
      </c>
      <c r="E102" s="1" t="n">
        <v>46326</v>
      </c>
      <c r="F102" t="inlineStr">
        <is>
          <t>STOCKHOLMS LÄN</t>
        </is>
      </c>
      <c r="G102" t="inlineStr">
        <is>
          <t>NYNÄSHAMN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45520</v>
      </c>
      <c r="E103" s="1" t="n">
        <v>46326</v>
      </c>
      <c r="F103" t="inlineStr">
        <is>
          <t>STOCKHOLMS LÄN</t>
        </is>
      </c>
      <c r="G103" t="inlineStr">
        <is>
          <t>NYNÄSHAMN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46326</v>
      </c>
      <c r="F104" t="inlineStr">
        <is>
          <t>STOCKHOLMS LÄN</t>
        </is>
      </c>
      <c r="G104" t="inlineStr">
        <is>
          <t>NYNÄSHAMN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45664</v>
      </c>
      <c r="E105" s="1" t="n">
        <v>46326</v>
      </c>
      <c r="F105" t="inlineStr">
        <is>
          <t>STOCKHOLMS LÄN</t>
        </is>
      </c>
      <c r="G105" t="inlineStr">
        <is>
          <t>NYNÄSHAMN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45610</v>
      </c>
      <c r="E106" s="1" t="n">
        <v>46326</v>
      </c>
      <c r="F106" t="inlineStr">
        <is>
          <t>STOCKHOLMS LÄN</t>
        </is>
      </c>
      <c r="G106" t="inlineStr">
        <is>
          <t>NYNÄSHAMN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46237</v>
      </c>
      <c r="E107" s="1" t="n">
        <v>46326</v>
      </c>
      <c r="F107" t="inlineStr">
        <is>
          <t>STOCKHOLMS LÄN</t>
        </is>
      </c>
      <c r="G107" t="inlineStr">
        <is>
          <t>NYNÄSHAMN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32307-2026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46237</v>
      </c>
      <c r="E108" s="1" t="n">
        <v>46326</v>
      </c>
      <c r="F108" t="inlineStr">
        <is>
          <t>STOCKHOLMS LÄN</t>
        </is>
      </c>
      <c r="G108" t="inlineStr">
        <is>
          <t>NYNÄSHAMN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45146</v>
      </c>
      <c r="E109" s="1" t="n">
        <v>46326</v>
      </c>
      <c r="F109" t="inlineStr">
        <is>
          <t>STOCKHOLMS LÄN</t>
        </is>
      </c>
      <c r="G109" t="inlineStr">
        <is>
          <t>NYNÄSHAMN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32840-2026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46244</v>
      </c>
      <c r="E110" s="1" t="n">
        <v>46326</v>
      </c>
      <c r="F110" t="inlineStr">
        <is>
          <t>STOCKHOLMS LÄN</t>
        </is>
      </c>
      <c r="G110" t="inlineStr">
        <is>
          <t>NYNÄSHAMN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46326</v>
      </c>
      <c r="F111" t="inlineStr">
        <is>
          <t>STOCKHOLMS LÄN</t>
        </is>
      </c>
      <c r="G111" t="inlineStr">
        <is>
          <t>NYNÄSHAMN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33067-2026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46245</v>
      </c>
      <c r="E112" s="1" t="n">
        <v>46326</v>
      </c>
      <c r="F112" t="inlineStr">
        <is>
          <t>STOCKHOLMS LÄN</t>
        </is>
      </c>
      <c r="G112" t="inlineStr">
        <is>
          <t>NYNÄSHAMN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46326</v>
      </c>
      <c r="F113" t="inlineStr">
        <is>
          <t>STOCKHOLMS LÄN</t>
        </is>
      </c>
      <c r="G113" t="inlineStr">
        <is>
          <t>NYNÄSHAMN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45789</v>
      </c>
      <c r="E114" s="1" t="n">
        <v>46326</v>
      </c>
      <c r="F114" t="inlineStr">
        <is>
          <t>STOCKHOLMS LÄN</t>
        </is>
      </c>
      <c r="G114" t="inlineStr">
        <is>
          <t>NYNÄSHAMN</t>
        </is>
      </c>
      <c r="H114" t="inlineStr">
        <is>
          <t>Kommuner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44979</v>
      </c>
      <c r="E115" s="1" t="n">
        <v>46326</v>
      </c>
      <c r="F115" t="inlineStr">
        <is>
          <t>STOCKHOLMS LÄN</t>
        </is>
      </c>
      <c r="G115" t="inlineStr">
        <is>
          <t>NYNÄSHAMN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46326</v>
      </c>
      <c r="F116" t="inlineStr">
        <is>
          <t>STOCKHOLMS LÄN</t>
        </is>
      </c>
      <c r="G116" t="inlineStr">
        <is>
          <t>NYNÄSHAMN</t>
        </is>
      </c>
      <c r="H116" t="inlineStr">
        <is>
          <t>Kommuner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2697-2024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45482</v>
      </c>
      <c r="E117" s="1" t="n">
        <v>46326</v>
      </c>
      <c r="F117" t="inlineStr">
        <is>
          <t>STOCKHOLMS LÄN</t>
        </is>
      </c>
      <c r="G117" t="inlineStr">
        <is>
          <t>NYNÄSHAMN</t>
        </is>
      </c>
      <c r="I117" t="n">
        <v>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4477-2022</t>
        </is>
      </c>
      <c r="B118" t="inlineStr">
        <is>
          <t>samrådsanmälan</t>
        </is>
      </c>
      <c r="C118" t="inlineStr">
        <is>
          <t>Skogsbilväg</t>
        </is>
      </c>
      <c r="D118" s="1" t="n">
        <v>44787</v>
      </c>
      <c r="E118" s="1" t="n">
        <v>46326</v>
      </c>
      <c r="F118" t="inlineStr">
        <is>
          <t>STOCKHOLMS LÄN</t>
        </is>
      </c>
      <c r="G118" t="inlineStr">
        <is>
          <t>NYNÄSHAMN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>
      <c r="A119" t="inlineStr">
        <is>
          <t>S 1845-2026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46198</v>
      </c>
      <c r="E119" s="1" t="n">
        <v>46326</v>
      </c>
      <c r="F119" t="inlineStr">
        <is>
          <t>STOCKHOLMS LÄN</t>
        </is>
      </c>
      <c r="G119" t="inlineStr">
        <is>
          <t>NYNÄSHAMN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2026-10-31T03:25:23Z</dcterms:created>
  <dcterms:modified xmlns:dcterms="http://purl.org/dc/terms/" xmlns:xsi="http://www.w3.org/2001/XMLSchema-instance" xsi:type="dcterms:W3CDTF">2026-10-31T03:25:23Z</dcterms:modified>
</cp:coreProperties>
</file>