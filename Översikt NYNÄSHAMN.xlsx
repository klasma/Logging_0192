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46230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46230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46230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46230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46230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46230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46230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46230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46230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46230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46230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46230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46230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46230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46230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46230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46230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46230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46230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46230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46230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46230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46230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46230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46230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46230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46230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46230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46230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38771-2021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44410</v>
      </c>
      <c r="E38" s="1" t="n">
        <v>46230</v>
      </c>
      <c r="F38" t="inlineStr">
        <is>
          <t>STOCKHOLMS LÄN</t>
        </is>
      </c>
      <c r="G38" t="inlineStr">
        <is>
          <t>NYNÄSHAMN</t>
        </is>
      </c>
      <c r="I38" t="n">
        <v>0.4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HYPERLINK("https://klasma.github.io/Logging_0192/artfynd/A 38771-2021 artfynd.xlsx", "A 38771-2021")</f>
        <v/>
      </c>
      <c r="X38">
        <f>HYPERLINK("https://klasma.github.io/Logging_0192/kartor/A 38771-2021 karta.png", "A 38771-2021")</f>
        <v/>
      </c>
      <c r="Y38">
        <f>HYPERLINK("https://klasma.github.io/Logging_0192/kartor_geotiff/A 38771-2021 georefererad karta.tif", "A 38771-2021")</f>
        <v/>
      </c>
      <c r="AA38">
        <f>HYPERLINK("https://klasma.github.io/Logging_0192/klagomål/A 38771-2021 FSC-klagomål.docx", "A 38771-2021")</f>
        <v/>
      </c>
      <c r="AB38">
        <f>HYPERLINK("https://klasma.github.io/Logging_0192/klagomålsmail/A 38771-2021 FSC-klagomål mail.docx", "A 38771-2021")</f>
        <v/>
      </c>
      <c r="AC38">
        <f>HYPERLINK("https://klasma.github.io/Logging_0192/tillsyn/A 38771-2021 tillsynsbegäran.docx", "A 38771-2021")</f>
        <v/>
      </c>
      <c r="AD38">
        <f>HYPERLINK("https://klasma.github.io/Logging_0192/tillsynsmail/A 38771-2021 tillsynsbegäran mail.docx", "A 38771-2021")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46230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46230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46230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46230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46230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46230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46230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46230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46230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46230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46230</v>
      </c>
      <c r="F50" t="inlineStr">
        <is>
          <t>STOCKHOLMS LÄN</t>
        </is>
      </c>
      <c r="G50" t="inlineStr">
        <is>
          <t>NYNÄSHAMN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46230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46230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46230</v>
      </c>
      <c r="F53" t="inlineStr">
        <is>
          <t>STOCKHOLMS LÄN</t>
        </is>
      </c>
      <c r="G53" t="inlineStr">
        <is>
          <t>NYNÄSHAMN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45344</v>
      </c>
      <c r="E54" s="1" t="n">
        <v>46230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46230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46230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44424</v>
      </c>
      <c r="E57" s="1" t="n">
        <v>46230</v>
      </c>
      <c r="F57" t="inlineStr">
        <is>
          <t>STOCKHOLMS LÄN</t>
        </is>
      </c>
      <c r="G57" t="inlineStr">
        <is>
          <t>NYNÄSHAMN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46230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46230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46230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46230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45196</v>
      </c>
      <c r="E62" s="1" t="n">
        <v>46230</v>
      </c>
      <c r="F62" t="inlineStr">
        <is>
          <t>STOCKHOLMS LÄN</t>
        </is>
      </c>
      <c r="G62" t="inlineStr">
        <is>
          <t>NYNÄSHAMN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44574</v>
      </c>
      <c r="E63" s="1" t="n">
        <v>46230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46230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46230</v>
      </c>
      <c r="F65" t="inlineStr">
        <is>
          <t>STOCKHOLMS LÄN</t>
        </is>
      </c>
      <c r="G65" t="inlineStr">
        <is>
          <t>NYNÄSHAMN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46230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46230</v>
      </c>
      <c r="F67" t="inlineStr">
        <is>
          <t>STOCKHOLMS LÄN</t>
        </is>
      </c>
      <c r="G67" t="inlineStr">
        <is>
          <t>NYNÄSHAMN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46230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60977-2022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44908</v>
      </c>
      <c r="E69" s="1" t="n">
        <v>46230</v>
      </c>
      <c r="F69" t="inlineStr">
        <is>
          <t>STOCKHOLMS LÄN</t>
        </is>
      </c>
      <c r="G69" t="inlineStr">
        <is>
          <t>NYNÄSHAMN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46230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46230</v>
      </c>
      <c r="F71" t="inlineStr">
        <is>
          <t>STOCKHOLMS LÄN</t>
        </is>
      </c>
      <c r="G71" t="inlineStr">
        <is>
          <t>NYNÄSHAMN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45935</v>
      </c>
      <c r="E72" s="1" t="n">
        <v>46230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46230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46230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51954-2025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45952</v>
      </c>
      <c r="E75" s="1" t="n">
        <v>46230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46230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46230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46230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46230</v>
      </c>
      <c r="F79" t="inlineStr">
        <is>
          <t>STOCKHOLMS LÄN</t>
        </is>
      </c>
      <c r="G79" t="inlineStr">
        <is>
          <t>NYNÄSHAMN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46230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46230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46230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46230</v>
      </c>
      <c r="F83" t="inlineStr">
        <is>
          <t>STOCKHOLMS LÄN</t>
        </is>
      </c>
      <c r="G83" t="inlineStr">
        <is>
          <t>NYNÄSHAMN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46230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46230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46230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46230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46230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46230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46230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46230</v>
      </c>
      <c r="F91" t="inlineStr">
        <is>
          <t>STOCKHOLMS LÄN</t>
        </is>
      </c>
      <c r="G91" t="inlineStr">
        <is>
          <t>NYNÄSHAMN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46230</v>
      </c>
      <c r="F92" t="inlineStr">
        <is>
          <t>STOCKHOLMS LÄN</t>
        </is>
      </c>
      <c r="G92" t="inlineStr">
        <is>
          <t>NYNÄSHAMN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46230</v>
      </c>
      <c r="F93" t="inlineStr">
        <is>
          <t>STOCKHOLMS LÄN</t>
        </is>
      </c>
      <c r="G93" t="inlineStr">
        <is>
          <t>NYNÄSHAMN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46230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46230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46213</v>
      </c>
      <c r="E96" s="1" t="n">
        <v>46230</v>
      </c>
      <c r="F96" t="inlineStr">
        <is>
          <t>STOCKHOLMS LÄN</t>
        </is>
      </c>
      <c r="G96" t="inlineStr">
        <is>
          <t>NYNÄSHAMN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46230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12031-2026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46085</v>
      </c>
      <c r="E98" s="1" t="n">
        <v>46230</v>
      </c>
      <c r="F98" t="inlineStr">
        <is>
          <t>STOCKHOLMS LÄN</t>
        </is>
      </c>
      <c r="G98" t="inlineStr">
        <is>
          <t>NYNÄSHAMN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46230</v>
      </c>
      <c r="F99" t="inlineStr">
        <is>
          <t>STOCKHOLMS LÄN</t>
        </is>
      </c>
      <c r="G99" t="inlineStr">
        <is>
          <t>NYNÄSHAMN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46230</v>
      </c>
      <c r="F100" t="inlineStr">
        <is>
          <t>STOCKHOLMS LÄN</t>
        </is>
      </c>
      <c r="G100" t="inlineStr">
        <is>
          <t>NYNÄSHAMN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46230</v>
      </c>
      <c r="F101" t="inlineStr">
        <is>
          <t>STOCKHOLMS LÄN</t>
        </is>
      </c>
      <c r="G101" t="inlineStr">
        <is>
          <t>NYNÄSHAMN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41767-2024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45561</v>
      </c>
      <c r="E102" s="1" t="n">
        <v>46230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46230</v>
      </c>
      <c r="F103" t="inlineStr">
        <is>
          <t>STOCKHOLMS LÄN</t>
        </is>
      </c>
      <c r="G103" t="inlineStr">
        <is>
          <t>NYNÄSHAMN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46230</v>
      </c>
      <c r="F104" t="inlineStr">
        <is>
          <t>STOCKHOLMS LÄN</t>
        </is>
      </c>
      <c r="G104" t="inlineStr">
        <is>
          <t>NYNÄSHAMN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46230</v>
      </c>
      <c r="F105" t="inlineStr">
        <is>
          <t>STOCKHOLMS LÄN</t>
        </is>
      </c>
      <c r="G105" t="inlineStr">
        <is>
          <t>NYNÄSHAMN</t>
        </is>
      </c>
      <c r="H105" t="inlineStr">
        <is>
          <t>Kyrkan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46230</v>
      </c>
      <c r="F106" t="inlineStr">
        <is>
          <t>STOCKHOLMS LÄN</t>
        </is>
      </c>
      <c r="G106" t="inlineStr">
        <is>
          <t>NYNÄSHAMN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46230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46230</v>
      </c>
      <c r="F108" t="inlineStr">
        <is>
          <t>STOCKHOLMS LÄN</t>
        </is>
      </c>
      <c r="G108" t="inlineStr">
        <is>
          <t>NYNÄSHAMN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46230</v>
      </c>
      <c r="F109" t="inlineStr">
        <is>
          <t>STOCKHOLMS LÄN</t>
        </is>
      </c>
      <c r="G109" t="inlineStr">
        <is>
          <t>NYNÄSHAMN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44680</v>
      </c>
      <c r="E110" s="1" t="n">
        <v>46230</v>
      </c>
      <c r="F110" t="inlineStr">
        <is>
          <t>STOCKHOLMS LÄN</t>
        </is>
      </c>
      <c r="G110" t="inlineStr">
        <is>
          <t>NYNÄSHAMN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46230</v>
      </c>
      <c r="F111" t="inlineStr">
        <is>
          <t>STOCKHOLMS LÄN</t>
        </is>
      </c>
      <c r="G111" t="inlineStr">
        <is>
          <t>NYNÄSHAMN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46230</v>
      </c>
      <c r="F112" t="inlineStr">
        <is>
          <t>STOCKHOLMS LÄN</t>
        </is>
      </c>
      <c r="G112" t="inlineStr">
        <is>
          <t>NYNÄSHAMN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46230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46230</v>
      </c>
      <c r="F114" t="inlineStr">
        <is>
          <t>STOCKHOLMS LÄN</t>
        </is>
      </c>
      <c r="G114" t="inlineStr">
        <is>
          <t>NYNÄSHAMN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46230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46230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45779</v>
      </c>
      <c r="E117" s="1" t="n">
        <v>46230</v>
      </c>
      <c r="F117" t="inlineStr">
        <is>
          <t>STOCKHOLMS LÄN</t>
        </is>
      </c>
      <c r="G117" t="inlineStr">
        <is>
          <t>NYNÄSHAMN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46230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46230</v>
      </c>
      <c r="F119" t="inlineStr">
        <is>
          <t>STOCKHOLMS LÄN</t>
        </is>
      </c>
      <c r="G119" t="inlineStr">
        <is>
          <t>NYNÄSHAMN</t>
        </is>
      </c>
      <c r="H119" t="inlineStr">
        <is>
          <t>Övriga statliga verk och myndigheter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46230</v>
      </c>
      <c r="F120" t="inlineStr">
        <is>
          <t>STOCKHOLMS LÄN</t>
        </is>
      </c>
      <c r="G120" t="inlineStr">
        <is>
          <t>NYNÄSHAMN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46230</v>
      </c>
      <c r="F121" t="inlineStr">
        <is>
          <t>STOCKHOLMS LÄN</t>
        </is>
      </c>
      <c r="G121" t="inlineStr">
        <is>
          <t>NYNÄSHAMN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46230</v>
      </c>
      <c r="F122" t="inlineStr">
        <is>
          <t>STOCKHOLMS LÄN</t>
        </is>
      </c>
      <c r="G122" t="inlineStr">
        <is>
          <t>NYNÄSHAMN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46230</v>
      </c>
      <c r="F123" t="inlineStr">
        <is>
          <t>STOCKHOLMS LÄN</t>
        </is>
      </c>
      <c r="G123" t="inlineStr">
        <is>
          <t>NYNÄSHAMN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46230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46230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46230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2026-07-27T01:50:20Z</dcterms:created>
  <dcterms:modified xmlns:dcterms="http://purl.org/dc/terms/" xmlns:xsi="http://www.w3.org/2001/XMLSchema-instance" xsi:type="dcterms:W3CDTF">2026-07-27T01:50:20Z</dcterms:modified>
</cp:coreProperties>
</file>