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V2">
        <f>HYPERLINK("https://klasma.github.io/Logging_0192/artfynd/A 43747-2024 artfynd.xlsx", "A 43747-2024")</f>
        <v/>
      </c>
      <c r="W2">
        <f>HYPERLINK("https://klasma.github.io/Logging_0192/kartor/A 43747-2024 karta.png", "A 43747-2024")</f>
        <v/>
      </c>
      <c r="Y2">
        <f>HYPERLINK("https://klasma.github.io/Logging_0192/klagomål/A 43747-2024 FSC-klagomål.docx", "A 43747-2024")</f>
        <v/>
      </c>
      <c r="Z2">
        <f>HYPERLINK("https://klasma.github.io/Logging_0192/klagomålsmail/A 43747-2024 FSC-klagomål mail.docx", "A 43747-2024")</f>
        <v/>
      </c>
      <c r="AA2">
        <f>HYPERLINK("https://klasma.github.io/Logging_0192/tillsyn/A 43747-2024 tillsynsbegäran.docx", "A 43747-2024")</f>
        <v/>
      </c>
      <c r="AB2">
        <f>HYPERLINK("https://klasma.github.io/Logging_0192/tillsynsmail/A 43747-2024 tillsynsbegäran mail.docx", "A 43747-2024")</f>
        <v/>
      </c>
      <c r="AC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46221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s="2" t="inlineStr">
        <is>
          <t>Knärot
Kattfotslav
Sårläka
Grön sköldmossa
Hasselticka
Kornknutmossa
Skogsknipprot
Stor revmossa
Västlig hakmossa
Blåsippa</t>
        </is>
      </c>
      <c r="V3">
        <f>HYPERLINK("https://klasma.github.io/Logging_0192/artfynd/A 1212-2023 artfynd.xlsx", "A 1212-2023")</f>
        <v/>
      </c>
      <c r="W3">
        <f>HYPERLINK("https://klasma.github.io/Logging_0192/kartor/A 1212-2023 karta.png", "A 1212-2023")</f>
        <v/>
      </c>
      <c r="X3">
        <f>HYPERLINK("https://klasma.github.io/Logging_0192/knärot/A 1212-2023 karta knärot.png", "A 1212-2023")</f>
        <v/>
      </c>
      <c r="Y3">
        <f>HYPERLINK("https://klasma.github.io/Logging_0192/klagomål/A 1212-2023 FSC-klagomål.docx", "A 1212-2023")</f>
        <v/>
      </c>
      <c r="Z3">
        <f>HYPERLINK("https://klasma.github.io/Logging_0192/klagomålsmail/A 1212-2023 FSC-klagomål mail.docx", "A 1212-2023")</f>
        <v/>
      </c>
      <c r="AA3">
        <f>HYPERLINK("https://klasma.github.io/Logging_0192/tillsyn/A 1212-2023 tillsynsbegäran.docx", "A 1212-2023")</f>
        <v/>
      </c>
      <c r="AB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46221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s="2" t="inlineStr">
        <is>
          <t>Ask
Skogsalm
Entita
Jungfrulin
Talltita
Gröngöling
Grönsiska
Havsörn
Kungsfågel</t>
        </is>
      </c>
      <c r="V4">
        <f>HYPERLINK("https://klasma.github.io/Logging_0192/artfynd/A 31142-2023 artfynd.xlsx", "A 31142-2023")</f>
        <v/>
      </c>
      <c r="W4">
        <f>HYPERLINK("https://klasma.github.io/Logging_0192/kartor/A 31142-2023 karta.png", "A 31142-2023")</f>
        <v/>
      </c>
      <c r="Y4">
        <f>HYPERLINK("https://klasma.github.io/Logging_0192/klagomål/A 31142-2023 FSC-klagomål.docx", "A 31142-2023")</f>
        <v/>
      </c>
      <c r="Z4">
        <f>HYPERLINK("https://klasma.github.io/Logging_0192/klagomålsmail/A 31142-2023 FSC-klagomål mail.docx", "A 31142-2023")</f>
        <v/>
      </c>
      <c r="AA4">
        <f>HYPERLINK("https://klasma.github.io/Logging_0192/tillsyn/A 31142-2023 tillsynsbegäran.docx", "A 31142-2023")</f>
        <v/>
      </c>
      <c r="AB4">
        <f>HYPERLINK("https://klasma.github.io/Logging_0192/tillsynsmail/A 31142-2023 tillsynsbegäran mail.docx", "A 31142-2023")</f>
        <v/>
      </c>
      <c r="AC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46221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s="2" t="inlineStr">
        <is>
          <t>Grönfink
Stare
Björktrast
Ladusvala
Rödvingetrast
Tibast
Havsörn
Trana
Törnskata</t>
        </is>
      </c>
      <c r="V5">
        <f>HYPERLINK("https://klasma.github.io/Logging_0192/artfynd/A 60057-2023 artfynd.xlsx", "A 60057-2023")</f>
        <v/>
      </c>
      <c r="W5">
        <f>HYPERLINK("https://klasma.github.io/Logging_0192/kartor/A 60057-2023 karta.png", "A 60057-2023")</f>
        <v/>
      </c>
      <c r="Y5">
        <f>HYPERLINK("https://klasma.github.io/Logging_0192/klagomål/A 60057-2023 FSC-klagomål.docx", "A 60057-2023")</f>
        <v/>
      </c>
      <c r="Z5">
        <f>HYPERLINK("https://klasma.github.io/Logging_0192/klagomålsmail/A 60057-2023 FSC-klagomål mail.docx", "A 60057-2023")</f>
        <v/>
      </c>
      <c r="AA5">
        <f>HYPERLINK("https://klasma.github.io/Logging_0192/tillsyn/A 60057-2023 tillsynsbegäran.docx", "A 60057-2023")</f>
        <v/>
      </c>
      <c r="AB5">
        <f>HYPERLINK("https://klasma.github.io/Logging_0192/tillsynsmail/A 60057-2023 tillsynsbegäran mail.docx", "A 60057-2023")</f>
        <v/>
      </c>
      <c r="AC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46221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s="2" t="inlineStr">
        <is>
          <t>Skogskorn
Blekticka
Svinrot
Hasselsopp
Skogsknipprot
Svart trolldruva
Blåsippa
Gullviva</t>
        </is>
      </c>
      <c r="V6">
        <f>HYPERLINK("https://klasma.github.io/Logging_0192/artfynd/S 2695-2024 artfynd.xlsx", "S 2695-2024")</f>
        <v/>
      </c>
      <c r="W6">
        <f>HYPERLINK("https://klasma.github.io/Logging_0192/kartor/S 2695-2024 karta.png", "S 2695-2024")</f>
        <v/>
      </c>
      <c r="Y6">
        <f>HYPERLINK("https://klasma.github.io/Logging_0192/klagomål/S 2695-2024 FSC-klagomål.docx", "S 2695-2024")</f>
        <v/>
      </c>
      <c r="Z6">
        <f>HYPERLINK("https://klasma.github.io/Logging_0192/klagomålsmail/S 2695-2024 FSC-klagomål mail.docx", "S 2695-2024")</f>
        <v/>
      </c>
      <c r="AA6">
        <f>HYPERLINK("https://klasma.github.io/Logging_0192/tillsyn/S 2695-2024 tillsynsbegäran.docx", "S 2695-2024")</f>
        <v/>
      </c>
      <c r="AB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46221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s="2" t="inlineStr">
        <is>
          <t>Jungfrulin
Noshornsoxe
Skogsknipprot
Dvärgpipistrell
Huggorm
Vanlig snok
Gullviva</t>
        </is>
      </c>
      <c r="V7">
        <f>HYPERLINK("https://klasma.github.io/Logging_0192/artfynd/A 18378-2026 artfynd.xlsx", "A 18378-2026")</f>
        <v/>
      </c>
      <c r="W7">
        <f>HYPERLINK("https://klasma.github.io/Logging_0192/kartor/A 18378-2026 karta.png", "A 18378-2026")</f>
        <v/>
      </c>
      <c r="Y7">
        <f>HYPERLINK("https://klasma.github.io/Logging_0192/klagomål/A 18378-2026 FSC-klagomål.docx", "A 18378-2026")</f>
        <v/>
      </c>
      <c r="Z7">
        <f>HYPERLINK("https://klasma.github.io/Logging_0192/klagomålsmail/A 18378-2026 FSC-klagomål mail.docx", "A 18378-2026")</f>
        <v/>
      </c>
      <c r="AA7">
        <f>HYPERLINK("https://klasma.github.io/Logging_0192/tillsyn/A 18378-2026 tillsynsbegäran.docx", "A 18378-2026")</f>
        <v/>
      </c>
      <c r="AB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46221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s="2" t="inlineStr">
        <is>
          <t>Skogskorn
Jungfrulin
Ängsskära
Myskmadra
Skogsknipprot
Strävlosta
Blåsippa</t>
        </is>
      </c>
      <c r="V8">
        <f>HYPERLINK("https://klasma.github.io/Logging_0192/artfynd/A 27135-2026 artfynd.xlsx", "A 27135-2026")</f>
        <v/>
      </c>
      <c r="W8">
        <f>HYPERLINK("https://klasma.github.io/Logging_0192/kartor/A 27135-2026 karta.png", "A 27135-2026")</f>
        <v/>
      </c>
      <c r="Y8">
        <f>HYPERLINK("https://klasma.github.io/Logging_0192/klagomål/A 27135-2026 FSC-klagomål.docx", "A 27135-2026")</f>
        <v/>
      </c>
      <c r="Z8">
        <f>HYPERLINK("https://klasma.github.io/Logging_0192/klagomålsmail/A 27135-2026 FSC-klagomål mail.docx", "A 27135-2026")</f>
        <v/>
      </c>
      <c r="AA8">
        <f>HYPERLINK("https://klasma.github.io/Logging_0192/tillsyn/A 27135-2026 tillsynsbegäran.docx", "A 27135-2026")</f>
        <v/>
      </c>
      <c r="AB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46221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s="2" t="inlineStr">
        <is>
          <t>Jungfrulin
Noshornsoxe
Skogsknipprot
Dvärgpipistrell
Huggorm
Vanlig snok
Gullviva</t>
        </is>
      </c>
      <c r="V9">
        <f>HYPERLINK("https://klasma.github.io/Logging_0192/artfynd/A 34573-2025 artfynd.xlsx", "A 34573-2025")</f>
        <v/>
      </c>
      <c r="W9">
        <f>HYPERLINK("https://klasma.github.io/Logging_0192/kartor/A 34573-2025 karta.png", "A 34573-2025")</f>
        <v/>
      </c>
      <c r="Y9">
        <f>HYPERLINK("https://klasma.github.io/Logging_0192/klagomål/A 34573-2025 FSC-klagomål.docx", "A 34573-2025")</f>
        <v/>
      </c>
      <c r="Z9">
        <f>HYPERLINK("https://klasma.github.io/Logging_0192/klagomålsmail/A 34573-2025 FSC-klagomål mail.docx", "A 34573-2025")</f>
        <v/>
      </c>
      <c r="AA9">
        <f>HYPERLINK("https://klasma.github.io/Logging_0192/tillsyn/A 34573-2025 tillsynsbegäran.docx", "A 34573-2025")</f>
        <v/>
      </c>
      <c r="AB9">
        <f>HYPERLINK("https://klasma.github.io/Logging_0192/tillsynsmail/A 34573-2025 tillsynsbegäran mail.docx", "A 34573-2025")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46221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s="2" t="inlineStr">
        <is>
          <t>Blåsippa
Spillkråka
Kråka
Skogsduva</t>
        </is>
      </c>
      <c r="V10">
        <f>HYPERLINK("https://klasma.github.io/Logging_0192/artfynd/A 5233-2026 artfynd.xlsx", "A 5233-2026")</f>
        <v/>
      </c>
      <c r="W10">
        <f>HYPERLINK("https://klasma.github.io/Logging_0192/kartor/A 5233-2026 karta.png", "A 5233-2026")</f>
        <v/>
      </c>
      <c r="Y10">
        <f>HYPERLINK("https://klasma.github.io/Logging_0192/klagomål/A 5233-2026 FSC-klagomål.docx", "A 5233-2026")</f>
        <v/>
      </c>
      <c r="Z10">
        <f>HYPERLINK("https://klasma.github.io/Logging_0192/klagomålsmail/A 5233-2026 FSC-klagomål mail.docx", "A 5233-2026")</f>
        <v/>
      </c>
      <c r="AA10">
        <f>HYPERLINK("https://klasma.github.io/Logging_0192/tillsyn/A 5233-2026 tillsynsbegäran.docx", "A 5233-2026")</f>
        <v/>
      </c>
      <c r="AB10">
        <f>HYPERLINK("https://klasma.github.io/Logging_0192/tillsynsmail/A 5233-2026 tillsynsbegäran mail.docx", "A 5233-2026")</f>
        <v/>
      </c>
      <c r="AC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46221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s="2" t="inlineStr">
        <is>
          <t>Tallticka
Vedskivlav
Hasselticka
Blåsippa</t>
        </is>
      </c>
      <c r="V11">
        <f>HYPERLINK("https://klasma.github.io/Logging_0192/artfynd/A 52261-2022 artfynd.xlsx", "A 52261-2022")</f>
        <v/>
      </c>
      <c r="W11">
        <f>HYPERLINK("https://klasma.github.io/Logging_0192/kartor/A 52261-2022 karta.png", "A 52261-2022")</f>
        <v/>
      </c>
      <c r="Y11">
        <f>HYPERLINK("https://klasma.github.io/Logging_0192/klagomål/A 52261-2022 FSC-klagomål.docx", "A 52261-2022")</f>
        <v/>
      </c>
      <c r="Z11">
        <f>HYPERLINK("https://klasma.github.io/Logging_0192/klagomålsmail/A 52261-2022 FSC-klagomål mail.docx", "A 52261-2022")</f>
        <v/>
      </c>
      <c r="AA11">
        <f>HYPERLINK("https://klasma.github.io/Logging_0192/tillsyn/A 52261-2022 tillsynsbegäran.docx", "A 52261-2022")</f>
        <v/>
      </c>
      <c r="AB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46221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s="2" t="inlineStr">
        <is>
          <t>Skogskorn
Vårärt
Hässleklocka
Strävlosta</t>
        </is>
      </c>
      <c r="V12">
        <f>HYPERLINK("https://klasma.github.io/Logging_0192/artfynd/S 1862-2026 artfynd.xlsx", "S 1862-2026")</f>
        <v/>
      </c>
      <c r="W12">
        <f>HYPERLINK("https://klasma.github.io/Logging_0192/kartor/S 1862-2026 karta.png", "S 1862-2026")</f>
        <v/>
      </c>
      <c r="Y12">
        <f>HYPERLINK("https://klasma.github.io/Logging_0192/klagomål/S 1862-2026 FSC-klagomål.docx", "S 1862-2026")</f>
        <v/>
      </c>
      <c r="Z12">
        <f>HYPERLINK("https://klasma.github.io/Logging_0192/klagomålsmail/S 1862-2026 FSC-klagomål mail.docx", "S 1862-2026")</f>
        <v/>
      </c>
      <c r="AA12">
        <f>HYPERLINK("https://klasma.github.io/Logging_0192/tillsyn/S 1862-2026 tillsynsbegäran.docx", "S 1862-2026")</f>
        <v/>
      </c>
      <c r="AB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46221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Grov fjädermossa
Grön sköldmossa
Stor revmossa</t>
        </is>
      </c>
      <c r="V13">
        <f>HYPERLINK("https://klasma.github.io/Logging_0192/artfynd/A 41371-2021 artfynd.xlsx", "A 41371-2021")</f>
        <v/>
      </c>
      <c r="W13">
        <f>HYPERLINK("https://klasma.github.io/Logging_0192/kartor/A 41371-2021 karta.png", "A 41371-2021")</f>
        <v/>
      </c>
      <c r="Y13">
        <f>HYPERLINK("https://klasma.github.io/Logging_0192/klagomål/A 41371-2021 FSC-klagomål.docx", "A 41371-2021")</f>
        <v/>
      </c>
      <c r="Z13">
        <f>HYPERLINK("https://klasma.github.io/Logging_0192/klagomålsmail/A 41371-2021 FSC-klagomål mail.docx", "A 41371-2021")</f>
        <v/>
      </c>
      <c r="AA13">
        <f>HYPERLINK("https://klasma.github.io/Logging_0192/tillsyn/A 41371-2021 tillsynsbegäran.docx", "A 41371-2021")</f>
        <v/>
      </c>
      <c r="AB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46221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Tallticka
Blodticka
Mindre märgborre</t>
        </is>
      </c>
      <c r="V14">
        <f>HYPERLINK("https://klasma.github.io/Logging_0192/artfynd/A 9268-2023 artfynd.xlsx", "A 9268-2023")</f>
        <v/>
      </c>
      <c r="W14">
        <f>HYPERLINK("https://klasma.github.io/Logging_0192/kartor/A 9268-2023 karta.png", "A 9268-2023")</f>
        <v/>
      </c>
      <c r="Y14">
        <f>HYPERLINK("https://klasma.github.io/Logging_0192/klagomål/A 9268-2023 FSC-klagomål.docx", "A 9268-2023")</f>
        <v/>
      </c>
      <c r="Z14">
        <f>HYPERLINK("https://klasma.github.io/Logging_0192/klagomålsmail/A 9268-2023 FSC-klagomål mail.docx", "A 9268-2023")</f>
        <v/>
      </c>
      <c r="AA14">
        <f>HYPERLINK("https://klasma.github.io/Logging_0192/tillsyn/A 9268-2023 tillsynsbegäran.docx", "A 9268-2023")</f>
        <v/>
      </c>
      <c r="AB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46221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s="2" t="inlineStr">
        <is>
          <t>Skogsknipprot
Törnskata
Gullviva</t>
        </is>
      </c>
      <c r="V15">
        <f>HYPERLINK("https://klasma.github.io/Logging_0192/artfynd/A 62013-2023 artfynd.xlsx", "A 62013-2023")</f>
        <v/>
      </c>
      <c r="W15">
        <f>HYPERLINK("https://klasma.github.io/Logging_0192/kartor/A 62013-2023 karta.png", "A 62013-2023")</f>
        <v/>
      </c>
      <c r="Y15">
        <f>HYPERLINK("https://klasma.github.io/Logging_0192/klagomål/A 62013-2023 FSC-klagomål.docx", "A 62013-2023")</f>
        <v/>
      </c>
      <c r="Z15">
        <f>HYPERLINK("https://klasma.github.io/Logging_0192/klagomålsmail/A 62013-2023 FSC-klagomål mail.docx", "A 62013-2023")</f>
        <v/>
      </c>
      <c r="AA15">
        <f>HYPERLINK("https://klasma.github.io/Logging_0192/tillsyn/A 62013-2023 tillsynsbegäran.docx", "A 62013-2023")</f>
        <v/>
      </c>
      <c r="AB15">
        <f>HYPERLINK("https://klasma.github.io/Logging_0192/tillsynsmail/A 62013-2023 tillsynsbegäran mail.docx", "A 62013-2023")</f>
        <v/>
      </c>
      <c r="AC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46221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Jungfrulin
Blåsippa
Gullviva</t>
        </is>
      </c>
      <c r="V16">
        <f>HYPERLINK("https://klasma.github.io/Logging_0192/artfynd/A 16309-2022 artfynd.xlsx", "A 16309-2022")</f>
        <v/>
      </c>
      <c r="W16">
        <f>HYPERLINK("https://klasma.github.io/Logging_0192/kartor/A 16309-2022 karta.png", "A 16309-2022")</f>
        <v/>
      </c>
      <c r="Y16">
        <f>HYPERLINK("https://klasma.github.io/Logging_0192/klagomål/A 16309-2022 FSC-klagomål.docx", "A 16309-2022")</f>
        <v/>
      </c>
      <c r="Z16">
        <f>HYPERLINK("https://klasma.github.io/Logging_0192/klagomålsmail/A 16309-2022 FSC-klagomål mail.docx", "A 16309-2022")</f>
        <v/>
      </c>
      <c r="AA16">
        <f>HYPERLINK("https://klasma.github.io/Logging_0192/tillsyn/A 16309-2022 tillsynsbegäran.docx", "A 16309-2022")</f>
        <v/>
      </c>
      <c r="AB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46221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Björksplintborre
Stekelbock
Revlummer</t>
        </is>
      </c>
      <c r="V17">
        <f>HYPERLINK("https://klasma.github.io/Logging_0192/artfynd/A 22716-2025 artfynd.xlsx", "A 22716-2025")</f>
        <v/>
      </c>
      <c r="W17">
        <f>HYPERLINK("https://klasma.github.io/Logging_0192/kartor/A 22716-2025 karta.png", "A 22716-2025")</f>
        <v/>
      </c>
      <c r="Y17">
        <f>HYPERLINK("https://klasma.github.io/Logging_0192/klagomål/A 22716-2025 FSC-klagomål.docx", "A 22716-2025")</f>
        <v/>
      </c>
      <c r="Z17">
        <f>HYPERLINK("https://klasma.github.io/Logging_0192/klagomålsmail/A 22716-2025 FSC-klagomål mail.docx", "A 22716-2025")</f>
        <v/>
      </c>
      <c r="AA17">
        <f>HYPERLINK("https://klasma.github.io/Logging_0192/tillsyn/A 22716-2025 tillsynsbegäran.docx", "A 22716-2025")</f>
        <v/>
      </c>
      <c r="AB17">
        <f>HYPERLINK("https://klasma.github.io/Logging_0192/tillsynsmail/A 22716-2025 tillsynsbegäran mail.docx", "A 22716-2025")</f>
        <v/>
      </c>
    </row>
    <row r="18" ht="15" customHeight="1">
      <c r="A18" t="inlineStr">
        <is>
          <t>A 37422-2021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44398</v>
      </c>
      <c r="E18" s="1" t="n">
        <v>46221</v>
      </c>
      <c r="F18" t="inlineStr">
        <is>
          <t>STOCKHOLMS LÄN</t>
        </is>
      </c>
      <c r="G18" t="inlineStr">
        <is>
          <t>NYNÄSHAMN</t>
        </is>
      </c>
      <c r="I18" t="n">
        <v>25.8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Tallticka
Spillkråka</t>
        </is>
      </c>
      <c r="V18">
        <f>HYPERLINK("https://klasma.github.io/Logging_0192/artfynd/A 37422-2021 artfynd.xlsx", "A 37422-2021")</f>
        <v/>
      </c>
      <c r="W18">
        <f>HYPERLINK("https://klasma.github.io/Logging_0192/kartor/A 37422-2021 karta.png", "A 37422-2021")</f>
        <v/>
      </c>
      <c r="Y18">
        <f>HYPERLINK("https://klasma.github.io/Logging_0192/klagomål/A 37422-2021 FSC-klagomål.docx", "A 37422-2021")</f>
        <v/>
      </c>
      <c r="Z18">
        <f>HYPERLINK("https://klasma.github.io/Logging_0192/klagomålsmail/A 37422-2021 FSC-klagomål mail.docx", "A 37422-2021")</f>
        <v/>
      </c>
      <c r="AA18">
        <f>HYPERLINK("https://klasma.github.io/Logging_0192/tillsyn/A 37422-2021 tillsynsbegäran.docx", "A 37422-2021")</f>
        <v/>
      </c>
      <c r="AB18">
        <f>HYPERLINK("https://klasma.github.io/Logging_0192/tillsynsmail/A 37422-2021 tillsynsbegäran mail.docx", "A 37422-2021")</f>
        <v/>
      </c>
      <c r="AC18">
        <f>HYPERLINK("https://klasma.github.io/Logging_0192/fåglar/A 37422-2021 prioriterade fågelarter.docx", "A 37422-2021")</f>
        <v/>
      </c>
    </row>
    <row r="19" ht="15" customHeight="1">
      <c r="A19" t="inlineStr">
        <is>
          <t>A 37100-2021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44396</v>
      </c>
      <c r="E19" s="1" t="n">
        <v>46221</v>
      </c>
      <c r="F19" t="inlineStr">
        <is>
          <t>STOCKHOLMS LÄN</t>
        </is>
      </c>
      <c r="G19" t="inlineStr">
        <is>
          <t>NYNÄSHAMN</t>
        </is>
      </c>
      <c r="I19" t="n">
        <v>1.4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Grön sköldmossa
Zontaggsvamp</t>
        </is>
      </c>
      <c r="V19">
        <f>HYPERLINK("https://klasma.github.io/Logging_0192/artfynd/A 37100-2021 artfynd.xlsx", "A 37100-2021")</f>
        <v/>
      </c>
      <c r="W19">
        <f>HYPERLINK("https://klasma.github.io/Logging_0192/kartor/A 37100-2021 karta.png", "A 37100-2021")</f>
        <v/>
      </c>
      <c r="Y19">
        <f>HYPERLINK("https://klasma.github.io/Logging_0192/klagomål/A 37100-2021 FSC-klagomål.docx", "A 37100-2021")</f>
        <v/>
      </c>
      <c r="Z19">
        <f>HYPERLINK("https://klasma.github.io/Logging_0192/klagomålsmail/A 37100-2021 FSC-klagomål mail.docx", "A 37100-2021")</f>
        <v/>
      </c>
      <c r="AA19">
        <f>HYPERLINK("https://klasma.github.io/Logging_0192/tillsyn/A 37100-2021 tillsynsbegäran.docx", "A 37100-2021")</f>
        <v/>
      </c>
      <c r="AB19">
        <f>HYPERLINK("https://klasma.github.io/Logging_0192/tillsynsmail/A 37100-2021 tillsynsbegäran mail.docx", "A 37100-2021")</f>
        <v/>
      </c>
    </row>
    <row r="20" ht="15" customHeight="1">
      <c r="A20" t="inlineStr">
        <is>
          <t>A 5567-2023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44960</v>
      </c>
      <c r="E20" s="1" t="n">
        <v>46221</v>
      </c>
      <c r="F20" t="inlineStr">
        <is>
          <t>STOCKHOLMS LÄN</t>
        </is>
      </c>
      <c r="G20" t="inlineStr">
        <is>
          <t>NYNÄSHAMN</t>
        </is>
      </c>
      <c r="I20" t="n">
        <v>10.1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Sårläka
Blåsippa</t>
        </is>
      </c>
      <c r="V20">
        <f>HYPERLINK("https://klasma.github.io/Logging_0192/artfynd/A 5567-2023 artfynd.xlsx", "A 5567-2023")</f>
        <v/>
      </c>
      <c r="W20">
        <f>HYPERLINK("https://klasma.github.io/Logging_0192/kartor/A 5567-2023 karta.png", "A 5567-2023")</f>
        <v/>
      </c>
      <c r="Y20">
        <f>HYPERLINK("https://klasma.github.io/Logging_0192/klagomål/A 5567-2023 FSC-klagomål.docx", "A 5567-2023")</f>
        <v/>
      </c>
      <c r="Z20">
        <f>HYPERLINK("https://klasma.github.io/Logging_0192/klagomålsmail/A 5567-2023 FSC-klagomål mail.docx", "A 5567-2023")</f>
        <v/>
      </c>
      <c r="AA20">
        <f>HYPERLINK("https://klasma.github.io/Logging_0192/tillsyn/A 5567-2023 tillsynsbegäran.docx", "A 5567-2023")</f>
        <v/>
      </c>
      <c r="AB20">
        <f>HYPERLINK("https://klasma.github.io/Logging_0192/tillsynsmail/A 5567-2023 tillsynsbegäran mail.docx", "A 5567-2023")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46221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Gullpudra
Strutbräken</t>
        </is>
      </c>
      <c r="V21">
        <f>HYPERLINK("https://klasma.github.io/Logging_0192/artfynd/A 8939-2023 artfynd.xlsx", "A 8939-2023")</f>
        <v/>
      </c>
      <c r="W21">
        <f>HYPERLINK("https://klasma.github.io/Logging_0192/kartor/A 8939-2023 karta.png", "A 8939-2023")</f>
        <v/>
      </c>
      <c r="Y21">
        <f>HYPERLINK("https://klasma.github.io/Logging_0192/klagomål/A 8939-2023 FSC-klagomål.docx", "A 8939-2023")</f>
        <v/>
      </c>
      <c r="Z21">
        <f>HYPERLINK("https://klasma.github.io/Logging_0192/klagomålsmail/A 8939-2023 FSC-klagomål mail.docx", "A 8939-2023")</f>
        <v/>
      </c>
      <c r="AA21">
        <f>HYPERLINK("https://klasma.github.io/Logging_0192/tillsyn/A 8939-2023 tillsynsbegäran.docx", "A 8939-2023")</f>
        <v/>
      </c>
      <c r="AB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46221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Hasselticka
Myskmadra</t>
        </is>
      </c>
      <c r="V22">
        <f>HYPERLINK("https://klasma.github.io/Logging_0192/artfynd/A 47093-2023 artfynd.xlsx", "A 47093-2023")</f>
        <v/>
      </c>
      <c r="W22">
        <f>HYPERLINK("https://klasma.github.io/Logging_0192/kartor/A 47093-2023 karta.png", "A 47093-2023")</f>
        <v/>
      </c>
      <c r="Y22">
        <f>HYPERLINK("https://klasma.github.io/Logging_0192/klagomål/A 47093-2023 FSC-klagomål.docx", "A 47093-2023")</f>
        <v/>
      </c>
      <c r="Z22">
        <f>HYPERLINK("https://klasma.github.io/Logging_0192/klagomålsmail/A 47093-2023 FSC-klagomål mail.docx", "A 47093-2023")</f>
        <v/>
      </c>
      <c r="AA22">
        <f>HYPERLINK("https://klasma.github.io/Logging_0192/tillsyn/A 47093-2023 tillsynsbegäran.docx", "A 47093-2023")</f>
        <v/>
      </c>
      <c r="AB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46221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s="2" t="inlineStr">
        <is>
          <t>Tallticka
Blåsippa</t>
        </is>
      </c>
      <c r="V23">
        <f>HYPERLINK("https://klasma.github.io/Logging_0192/artfynd/A 1561-2023 artfynd.xlsx", "A 1561-2023")</f>
        <v/>
      </c>
      <c r="W23">
        <f>HYPERLINK("https://klasma.github.io/Logging_0192/kartor/A 1561-2023 karta.png", "A 1561-2023")</f>
        <v/>
      </c>
      <c r="Y23">
        <f>HYPERLINK("https://klasma.github.io/Logging_0192/klagomål/A 1561-2023 FSC-klagomål.docx", "A 1561-2023")</f>
        <v/>
      </c>
      <c r="Z23">
        <f>HYPERLINK("https://klasma.github.io/Logging_0192/klagomålsmail/A 1561-2023 FSC-klagomål mail.docx", "A 1561-2023")</f>
        <v/>
      </c>
      <c r="AA23">
        <f>HYPERLINK("https://klasma.github.io/Logging_0192/tillsyn/A 1561-2023 tillsynsbegäran.docx", "A 1561-2023")</f>
        <v/>
      </c>
      <c r="AB23">
        <f>HYPERLINK("https://klasma.github.io/Logging_0192/tillsynsmail/A 1561-2023 tillsynsbegäran mail.docx", "A 1561-2023")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46221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Fjällvråk
Havsörn</t>
        </is>
      </c>
      <c r="V24">
        <f>HYPERLINK("https://klasma.github.io/Logging_0192/artfynd/A 12033-2026 artfynd.xlsx", "A 12033-2026")</f>
        <v/>
      </c>
      <c r="W24">
        <f>HYPERLINK("https://klasma.github.io/Logging_0192/kartor/A 12033-2026 karta.png", "A 12033-2026")</f>
        <v/>
      </c>
      <c r="Y24">
        <f>HYPERLINK("https://klasma.github.io/Logging_0192/klagomål/A 12033-2026 FSC-klagomål.docx", "A 12033-2026")</f>
        <v/>
      </c>
      <c r="Z24">
        <f>HYPERLINK("https://klasma.github.io/Logging_0192/klagomålsmail/A 12033-2026 FSC-klagomål mail.docx", "A 12033-2026")</f>
        <v/>
      </c>
      <c r="AA24">
        <f>HYPERLINK("https://klasma.github.io/Logging_0192/tillsyn/A 12033-2026 tillsynsbegäran.docx", "A 12033-2026")</f>
        <v/>
      </c>
      <c r="AB24">
        <f>HYPERLINK("https://klasma.github.io/Logging_0192/tillsynsmail/A 12033-2026 tillsynsbegäran mail.docx", "A 12033-2026")</f>
        <v/>
      </c>
      <c r="AC24">
        <f>HYPERLINK("https://klasma.github.io/Logging_0192/fåglar/A 12033-2026 prioriterade fågelarter.docx", "A 12033-2026")</f>
        <v/>
      </c>
    </row>
    <row r="25" ht="15" customHeight="1">
      <c r="A25" t="inlineStr">
        <is>
          <t>A 64189-2023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46221</v>
      </c>
      <c r="F25" t="inlineStr">
        <is>
          <t>STOCKHOLMS LÄN</t>
        </is>
      </c>
      <c r="G25" t="inlineStr">
        <is>
          <t>NYNÄSHAMN</t>
        </is>
      </c>
      <c r="I25" t="n">
        <v>1.5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s="2" t="inlineStr">
        <is>
          <t>Blåsippa
Gullviva</t>
        </is>
      </c>
      <c r="V25">
        <f>HYPERLINK("https://klasma.github.io/Logging_0192/artfynd/A 64189-2023 artfynd.xlsx", "A 64189-2023")</f>
        <v/>
      </c>
      <c r="W25">
        <f>HYPERLINK("https://klasma.github.io/Logging_0192/kartor/A 64189-2023 karta.png", "A 64189-2023")</f>
        <v/>
      </c>
      <c r="Y25">
        <f>HYPERLINK("https://klasma.github.io/Logging_0192/klagomål/A 64189-2023 FSC-klagomål.docx", "A 64189-2023")</f>
        <v/>
      </c>
      <c r="Z25">
        <f>HYPERLINK("https://klasma.github.io/Logging_0192/klagomålsmail/A 64189-2023 FSC-klagomål mail.docx", "A 64189-2023")</f>
        <v/>
      </c>
      <c r="AA25">
        <f>HYPERLINK("https://klasma.github.io/Logging_0192/tillsyn/A 64189-2023 tillsynsbegäran.docx", "A 64189-2023")</f>
        <v/>
      </c>
      <c r="AB25">
        <f>HYPERLINK("https://klasma.github.io/Logging_0192/tillsynsmail/A 64189-2023 tillsynsbegäran mail.docx", "A 64189-2023")</f>
        <v/>
      </c>
    </row>
    <row r="26" ht="15" customHeight="1">
      <c r="A26" t="inlineStr">
        <is>
          <t>A 33528-2023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45131</v>
      </c>
      <c r="E26" s="1" t="n">
        <v>46221</v>
      </c>
      <c r="F26" t="inlineStr">
        <is>
          <t>STOCKHOLMS LÄN</t>
        </is>
      </c>
      <c r="G26" t="inlineStr">
        <is>
          <t>NYNÄSHAMN</t>
        </is>
      </c>
      <c r="I26" t="n">
        <v>4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Gullpudra
Strutbräken</t>
        </is>
      </c>
      <c r="V26">
        <f>HYPERLINK("https://klasma.github.io/Logging_0192/artfynd/A 33528-2023 artfynd.xlsx", "A 33528-2023")</f>
        <v/>
      </c>
      <c r="W26">
        <f>HYPERLINK("https://klasma.github.io/Logging_0192/kartor/A 33528-2023 karta.png", "A 33528-2023")</f>
        <v/>
      </c>
      <c r="Y26">
        <f>HYPERLINK("https://klasma.github.io/Logging_0192/klagomål/A 33528-2023 FSC-klagomål.docx", "A 33528-2023")</f>
        <v/>
      </c>
      <c r="Z26">
        <f>HYPERLINK("https://klasma.github.io/Logging_0192/klagomålsmail/A 33528-2023 FSC-klagomål mail.docx", "A 33528-2023")</f>
        <v/>
      </c>
      <c r="AA26">
        <f>HYPERLINK("https://klasma.github.io/Logging_0192/tillsyn/A 33528-2023 tillsynsbegäran.docx", "A 33528-2023")</f>
        <v/>
      </c>
      <c r="AB26">
        <f>HYPERLINK("https://klasma.github.io/Logging_0192/tillsynsmail/A 33528-2023 tillsynsbegäran mail.docx", "A 33528-2023")</f>
        <v/>
      </c>
    </row>
    <row r="27" ht="15" customHeight="1">
      <c r="A27" t="inlineStr">
        <is>
          <t>A 49523-2023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46221</v>
      </c>
      <c r="F27" t="inlineStr">
        <is>
          <t>STOCKHOLMS LÄN</t>
        </is>
      </c>
      <c r="G27" t="inlineStr">
        <is>
          <t>NYNÄSHAMN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Grönpyrola
Västlig hakmossa</t>
        </is>
      </c>
      <c r="V27">
        <f>HYPERLINK("https://klasma.github.io/Logging_0192/artfynd/A 49523-2023 artfynd.xlsx", "A 49523-2023")</f>
        <v/>
      </c>
      <c r="W27">
        <f>HYPERLINK("https://klasma.github.io/Logging_0192/kartor/A 49523-2023 karta.png", "A 49523-2023")</f>
        <v/>
      </c>
      <c r="Y27">
        <f>HYPERLINK("https://klasma.github.io/Logging_0192/klagomål/A 49523-2023 FSC-klagomål.docx", "A 49523-2023")</f>
        <v/>
      </c>
      <c r="Z27">
        <f>HYPERLINK("https://klasma.github.io/Logging_0192/klagomålsmail/A 49523-2023 FSC-klagomål mail.docx", "A 49523-2023")</f>
        <v/>
      </c>
      <c r="AA27">
        <f>HYPERLINK("https://klasma.github.io/Logging_0192/tillsyn/A 49523-2023 tillsynsbegäran.docx", "A 49523-2023")</f>
        <v/>
      </c>
      <c r="AB27">
        <f>HYPERLINK("https://klasma.github.io/Logging_0192/tillsynsmail/A 49523-2023 tillsynsbegäran mail.docx", "A 49523-2023")</f>
        <v/>
      </c>
    </row>
    <row r="28" ht="15" customHeight="1">
      <c r="A28" t="inlineStr">
        <is>
          <t>A 10059-2022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44621</v>
      </c>
      <c r="E28" s="1" t="n">
        <v>46221</v>
      </c>
      <c r="F28" t="inlineStr">
        <is>
          <t>STOCKHOLMS LÄN</t>
        </is>
      </c>
      <c r="G28" t="inlineStr">
        <is>
          <t>NYNÄSHAMN</t>
        </is>
      </c>
      <c r="I28" t="n">
        <v>17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Bolmört
Bollvitmossa</t>
        </is>
      </c>
      <c r="V28">
        <f>HYPERLINK("https://klasma.github.io/Logging_0192/artfynd/A 10059-2022 artfynd.xlsx", "A 10059-2022")</f>
        <v/>
      </c>
      <c r="W28">
        <f>HYPERLINK("https://klasma.github.io/Logging_0192/kartor/A 10059-2022 karta.png", "A 10059-2022")</f>
        <v/>
      </c>
      <c r="Y28">
        <f>HYPERLINK("https://klasma.github.io/Logging_0192/klagomål/A 10059-2022 FSC-klagomål.docx", "A 10059-2022")</f>
        <v/>
      </c>
      <c r="Z28">
        <f>HYPERLINK("https://klasma.github.io/Logging_0192/klagomålsmail/A 10059-2022 FSC-klagomål mail.docx", "A 10059-2022")</f>
        <v/>
      </c>
      <c r="AA28">
        <f>HYPERLINK("https://klasma.github.io/Logging_0192/tillsyn/A 10059-2022 tillsynsbegäran.docx", "A 10059-2022")</f>
        <v/>
      </c>
      <c r="AB28">
        <f>HYPERLINK("https://klasma.github.io/Logging_0192/tillsynsmail/A 10059-2022 tillsynsbegäran mail.docx", "A 10059-2022")</f>
        <v/>
      </c>
    </row>
    <row r="29" ht="15" customHeight="1">
      <c r="A29" t="inlineStr">
        <is>
          <t>A 38771-2021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44410</v>
      </c>
      <c r="E29" s="1" t="n">
        <v>46221</v>
      </c>
      <c r="F29" t="inlineStr">
        <is>
          <t>STOCKHOLMS LÄN</t>
        </is>
      </c>
      <c r="G29" t="inlineStr">
        <is>
          <t>NYNÄSHAMN</t>
        </is>
      </c>
      <c r="I29" t="n">
        <v>0.4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Gullviva</t>
        </is>
      </c>
      <c r="V29">
        <f>HYPERLINK("https://klasma.github.io/Logging_0192/artfynd/A 38771-2021 artfynd.xlsx", "A 38771-2021")</f>
        <v/>
      </c>
      <c r="W29">
        <f>HYPERLINK("https://klasma.github.io/Logging_0192/kartor/A 38771-2021 karta.png", "A 38771-2021")</f>
        <v/>
      </c>
      <c r="Y29">
        <f>HYPERLINK("https://klasma.github.io/Logging_0192/klagomål/A 38771-2021 FSC-klagomål.docx", "A 38771-2021")</f>
        <v/>
      </c>
      <c r="Z29">
        <f>HYPERLINK("https://klasma.github.io/Logging_0192/klagomålsmail/A 38771-2021 FSC-klagomål mail.docx", "A 38771-2021")</f>
        <v/>
      </c>
      <c r="AA29">
        <f>HYPERLINK("https://klasma.github.io/Logging_0192/tillsyn/A 38771-2021 tillsynsbegäran.docx", "A 38771-2021")</f>
        <v/>
      </c>
      <c r="AB29">
        <f>HYPERLINK("https://klasma.github.io/Logging_0192/tillsynsmail/A 38771-2021 tillsynsbegäran mail.docx", "A 38771-2021")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46221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Vanlig padda</t>
        </is>
      </c>
      <c r="V30">
        <f>HYPERLINK("https://klasma.github.io/Logging_0192/artfynd/A 62634-2022 artfynd.xlsx", "A 62634-2022")</f>
        <v/>
      </c>
      <c r="W30">
        <f>HYPERLINK("https://klasma.github.io/Logging_0192/kartor/A 62634-2022 karta.png", "A 62634-2022")</f>
        <v/>
      </c>
      <c r="Y30">
        <f>HYPERLINK("https://klasma.github.io/Logging_0192/klagomål/A 62634-2022 FSC-klagomål.docx", "A 62634-2022")</f>
        <v/>
      </c>
      <c r="Z30">
        <f>HYPERLINK("https://klasma.github.io/Logging_0192/klagomålsmail/A 62634-2022 FSC-klagomål mail.docx", "A 62634-2022")</f>
        <v/>
      </c>
      <c r="AA30">
        <f>HYPERLINK("https://klasma.github.io/Logging_0192/tillsyn/A 62634-2022 tillsynsbegäran.docx", "A 62634-2022")</f>
        <v/>
      </c>
      <c r="AB30">
        <f>HYPERLINK("https://klasma.github.io/Logging_0192/tillsynsmail/A 62634-2022 tillsynsbegäran mail.docx", "A 62634-2022")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46221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s="2" t="inlineStr">
        <is>
          <t>Revlummer</t>
        </is>
      </c>
      <c r="V31">
        <f>HYPERLINK("https://klasma.github.io/Logging_0192/artfynd/A 64196-2023 artfynd.xlsx", "A 64196-2023")</f>
        <v/>
      </c>
      <c r="W31">
        <f>HYPERLINK("https://klasma.github.io/Logging_0192/kartor/A 64196-2023 karta.png", "A 64196-2023")</f>
        <v/>
      </c>
      <c r="Y31">
        <f>HYPERLINK("https://klasma.github.io/Logging_0192/klagomål/A 64196-2023 FSC-klagomål.docx", "A 64196-2023")</f>
        <v/>
      </c>
      <c r="Z31">
        <f>HYPERLINK("https://klasma.github.io/Logging_0192/klagomålsmail/A 64196-2023 FSC-klagomål mail.docx", "A 64196-2023")</f>
        <v/>
      </c>
      <c r="AA31">
        <f>HYPERLINK("https://klasma.github.io/Logging_0192/tillsyn/A 64196-2023 tillsynsbegäran.docx", "A 64196-2023")</f>
        <v/>
      </c>
      <c r="AB31">
        <f>HYPERLINK("https://klasma.github.io/Logging_0192/tillsynsmail/A 64196-2023 tillsynsbegäran mail.docx", "A 64196-2023")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46221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Grön sköldmossa</t>
        </is>
      </c>
      <c r="V32">
        <f>HYPERLINK("https://klasma.github.io/Logging_0192/artfynd/A 31842-2023 artfynd.xlsx", "A 31842-2023")</f>
        <v/>
      </c>
      <c r="W32">
        <f>HYPERLINK("https://klasma.github.io/Logging_0192/kartor/A 31842-2023 karta.png", "A 31842-2023")</f>
        <v/>
      </c>
      <c r="Y32">
        <f>HYPERLINK("https://klasma.github.io/Logging_0192/klagomål/A 31842-2023 FSC-klagomål.docx", "A 31842-2023")</f>
        <v/>
      </c>
      <c r="Z32">
        <f>HYPERLINK("https://klasma.github.io/Logging_0192/klagomålsmail/A 31842-2023 FSC-klagomål mail.docx", "A 31842-2023")</f>
        <v/>
      </c>
      <c r="AA32">
        <f>HYPERLINK("https://klasma.github.io/Logging_0192/tillsyn/A 31842-2023 tillsynsbegäran.docx", "A 31842-2023")</f>
        <v/>
      </c>
      <c r="AB32">
        <f>HYPERLINK("https://klasma.github.io/Logging_0192/tillsynsmail/A 31842-2023 tillsynsbegäran mail.docx", "A 31842-2023")</f>
        <v/>
      </c>
    </row>
    <row r="33" ht="15" customHeight="1">
      <c r="A33" t="inlineStr">
        <is>
          <t>A 32092-2023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46221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Skärmstarr</t>
        </is>
      </c>
      <c r="V33">
        <f>HYPERLINK("https://klasma.github.io/Logging_0192/artfynd/A 32092-2023 artfynd.xlsx", "A 32092-2023")</f>
        <v/>
      </c>
      <c r="W33">
        <f>HYPERLINK("https://klasma.github.io/Logging_0192/kartor/A 32092-2023 karta.png", "A 32092-2023")</f>
        <v/>
      </c>
      <c r="Y33">
        <f>HYPERLINK("https://klasma.github.io/Logging_0192/klagomål/A 32092-2023 FSC-klagomål.docx", "A 32092-2023")</f>
        <v/>
      </c>
      <c r="Z33">
        <f>HYPERLINK("https://klasma.github.io/Logging_0192/klagomålsmail/A 32092-2023 FSC-klagomål mail.docx", "A 32092-2023")</f>
        <v/>
      </c>
      <c r="AA33">
        <f>HYPERLINK("https://klasma.github.io/Logging_0192/tillsyn/A 32092-2023 tillsynsbegäran.docx", "A 32092-2023")</f>
        <v/>
      </c>
      <c r="AB33">
        <f>HYPERLINK("https://klasma.github.io/Logging_0192/tillsynsmail/A 32092-2023 tillsynsbegäran mail.docx", "A 32092-2023")</f>
        <v/>
      </c>
    </row>
    <row r="34" ht="15" customHeight="1">
      <c r="A34" t="inlineStr">
        <is>
          <t>A 40895-2024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46221</v>
      </c>
      <c r="F34" t="inlineStr">
        <is>
          <t>STOCKHOLMS LÄN</t>
        </is>
      </c>
      <c r="G34" t="inlineStr">
        <is>
          <t>NYNÄSHAMN</t>
        </is>
      </c>
      <c r="I34" t="n">
        <v>3.7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Stubbspretmossa</t>
        </is>
      </c>
      <c r="V34">
        <f>HYPERLINK("https://klasma.github.io/Logging_0192/artfynd/A 40895-2024 artfynd.xlsx", "A 40895-2024")</f>
        <v/>
      </c>
      <c r="W34">
        <f>HYPERLINK("https://klasma.github.io/Logging_0192/kartor/A 40895-2024 karta.png", "A 40895-2024")</f>
        <v/>
      </c>
      <c r="Y34">
        <f>HYPERLINK("https://klasma.github.io/Logging_0192/klagomål/A 40895-2024 FSC-klagomål.docx", "A 40895-2024")</f>
        <v/>
      </c>
      <c r="Z34">
        <f>HYPERLINK("https://klasma.github.io/Logging_0192/klagomålsmail/A 40895-2024 FSC-klagomål mail.docx", "A 40895-2024")</f>
        <v/>
      </c>
      <c r="AA34">
        <f>HYPERLINK("https://klasma.github.io/Logging_0192/tillsyn/A 40895-2024 tillsynsbegäran.docx", "A 40895-2024")</f>
        <v/>
      </c>
      <c r="AB34">
        <f>HYPERLINK("https://klasma.github.io/Logging_0192/tillsynsmail/A 40895-2024 tillsynsbegäran mail.docx", "A 40895-2024")</f>
        <v/>
      </c>
    </row>
    <row r="35" ht="15" customHeight="1">
      <c r="A35" t="inlineStr">
        <is>
          <t>A 32011-2023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46221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Fiskgjuse</t>
        </is>
      </c>
      <c r="V35">
        <f>HYPERLINK("https://klasma.github.io/Logging_0192/artfynd/A 32011-2023 artfynd.xlsx", "A 32011-2023")</f>
        <v/>
      </c>
      <c r="W35">
        <f>HYPERLINK("https://klasma.github.io/Logging_0192/kartor/A 32011-2023 karta.png", "A 32011-2023")</f>
        <v/>
      </c>
      <c r="Y35">
        <f>HYPERLINK("https://klasma.github.io/Logging_0192/klagomål/A 32011-2023 FSC-klagomål.docx", "A 32011-2023")</f>
        <v/>
      </c>
      <c r="Z35">
        <f>HYPERLINK("https://klasma.github.io/Logging_0192/klagomålsmail/A 32011-2023 FSC-klagomål mail.docx", "A 32011-2023")</f>
        <v/>
      </c>
      <c r="AA35">
        <f>HYPERLINK("https://klasma.github.io/Logging_0192/tillsyn/A 32011-2023 tillsynsbegäran.docx", "A 32011-2023")</f>
        <v/>
      </c>
      <c r="AB35">
        <f>HYPERLINK("https://klasma.github.io/Logging_0192/tillsynsmail/A 32011-2023 tillsynsbegäran mail.docx", "A 32011-2023")</f>
        <v/>
      </c>
      <c r="AC35">
        <f>HYPERLINK("https://klasma.github.io/Logging_0192/fåglar/A 32011-2023 prioriterade fågelarter.docx", "A 32011-2023")</f>
        <v/>
      </c>
    </row>
    <row r="36" ht="15" customHeight="1">
      <c r="A36" t="inlineStr">
        <is>
          <t>A 27748-2023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46221</v>
      </c>
      <c r="F36" t="inlineStr">
        <is>
          <t>STOCKHOLMS LÄN</t>
        </is>
      </c>
      <c r="G36" t="inlineStr">
        <is>
          <t>NYNÄSHAMN</t>
        </is>
      </c>
      <c r="I36" t="n">
        <v>1.2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Ekoxe</t>
        </is>
      </c>
      <c r="V36">
        <f>HYPERLINK("https://klasma.github.io/Logging_0192/artfynd/A 27748-2023 artfynd.xlsx", "A 27748-2023")</f>
        <v/>
      </c>
      <c r="W36">
        <f>HYPERLINK("https://klasma.github.io/Logging_0192/kartor/A 27748-2023 karta.png", "A 27748-2023")</f>
        <v/>
      </c>
      <c r="Y36">
        <f>HYPERLINK("https://klasma.github.io/Logging_0192/klagomål/A 27748-2023 FSC-klagomål.docx", "A 27748-2023")</f>
        <v/>
      </c>
      <c r="Z36">
        <f>HYPERLINK("https://klasma.github.io/Logging_0192/klagomålsmail/A 27748-2023 FSC-klagomål mail.docx", "A 27748-2023")</f>
        <v/>
      </c>
      <c r="AA36">
        <f>HYPERLINK("https://klasma.github.io/Logging_0192/tillsyn/A 27748-2023 tillsynsbegäran.docx", "A 27748-2023")</f>
        <v/>
      </c>
      <c r="AB36">
        <f>HYPERLINK("https://klasma.github.io/Logging_0192/tillsynsmail/A 27748-2023 tillsynsbegäran mail.docx", "A 27748-2023")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46221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Tallticka</t>
        </is>
      </c>
      <c r="V37">
        <f>HYPERLINK("https://klasma.github.io/Logging_0192/artfynd/A 6435-2023 artfynd.xlsx", "A 6435-2023")</f>
        <v/>
      </c>
      <c r="W37">
        <f>HYPERLINK("https://klasma.github.io/Logging_0192/kartor/A 6435-2023 karta.png", "A 6435-2023")</f>
        <v/>
      </c>
      <c r="Y37">
        <f>HYPERLINK("https://klasma.github.io/Logging_0192/klagomål/A 6435-2023 FSC-klagomål.docx", "A 6435-2023")</f>
        <v/>
      </c>
      <c r="Z37">
        <f>HYPERLINK("https://klasma.github.io/Logging_0192/klagomålsmail/A 6435-2023 FSC-klagomål mail.docx", "A 6435-2023")</f>
        <v/>
      </c>
      <c r="AA37">
        <f>HYPERLINK("https://klasma.github.io/Logging_0192/tillsyn/A 6435-2023 tillsynsbegäran.docx", "A 6435-2023")</f>
        <v/>
      </c>
      <c r="AB37">
        <f>HYPERLINK("https://klasma.github.io/Logging_0192/tillsynsmail/A 6435-2023 tillsynsbegäran mail.docx", "A 6435-2023")</f>
        <v/>
      </c>
    </row>
    <row r="38" ht="15" customHeight="1">
      <c r="A38" t="inlineStr">
        <is>
          <t>A 9017-2023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44979</v>
      </c>
      <c r="E38" s="1" t="n">
        <v>46221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2.7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Tofsvipa</t>
        </is>
      </c>
      <c r="V38">
        <f>HYPERLINK("https://klasma.github.io/Logging_0192/artfynd/A 9017-2023 artfynd.xlsx", "A 9017-2023")</f>
        <v/>
      </c>
      <c r="W38">
        <f>HYPERLINK("https://klasma.github.io/Logging_0192/kartor/A 9017-2023 karta.png", "A 9017-2023")</f>
        <v/>
      </c>
      <c r="Y38">
        <f>HYPERLINK("https://klasma.github.io/Logging_0192/klagomål/A 9017-2023 FSC-klagomål.docx", "A 9017-2023")</f>
        <v/>
      </c>
      <c r="Z38">
        <f>HYPERLINK("https://klasma.github.io/Logging_0192/klagomålsmail/A 9017-2023 FSC-klagomål mail.docx", "A 9017-2023")</f>
        <v/>
      </c>
      <c r="AA38">
        <f>HYPERLINK("https://klasma.github.io/Logging_0192/tillsyn/A 9017-2023 tillsynsbegäran.docx", "A 9017-2023")</f>
        <v/>
      </c>
      <c r="AB38">
        <f>HYPERLINK("https://klasma.github.io/Logging_0192/tillsynsmail/A 9017-2023 tillsynsbegäran mail.docx", "A 9017-2023")</f>
        <v/>
      </c>
    </row>
    <row r="39" ht="15" customHeight="1">
      <c r="A39" t="inlineStr">
        <is>
          <t>A 23906-2026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46167</v>
      </c>
      <c r="E39" s="1" t="n">
        <v>46221</v>
      </c>
      <c r="F39" t="inlineStr">
        <is>
          <t>STOCKHOLMS LÄN</t>
        </is>
      </c>
      <c r="G39" t="inlineStr">
        <is>
          <t>NYNÄSHAMN</t>
        </is>
      </c>
      <c r="H39" t="inlineStr">
        <is>
          <t>Kommuner</t>
        </is>
      </c>
      <c r="I39" t="n">
        <v>7.9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 sköldmossa</t>
        </is>
      </c>
      <c r="V39">
        <f>HYPERLINK("https://klasma.github.io/Logging_0192/artfynd/A 23906-2026 artfynd.xlsx", "A 23906-2026")</f>
        <v/>
      </c>
      <c r="W39">
        <f>HYPERLINK("https://klasma.github.io/Logging_0192/kartor/A 23906-2026 karta.png", "A 23906-2026")</f>
        <v/>
      </c>
      <c r="Y39">
        <f>HYPERLINK("https://klasma.github.io/Logging_0192/klagomål/A 23906-2026 FSC-klagomål.docx", "A 23906-2026")</f>
        <v/>
      </c>
      <c r="Z39">
        <f>HYPERLINK("https://klasma.github.io/Logging_0192/klagomålsmail/A 23906-2026 FSC-klagomål mail.docx", "A 23906-2026")</f>
        <v/>
      </c>
      <c r="AA39">
        <f>HYPERLINK("https://klasma.github.io/Logging_0192/tillsyn/A 23906-2026 tillsynsbegäran.docx", "A 23906-2026")</f>
        <v/>
      </c>
      <c r="AB39">
        <f>HYPERLINK("https://klasma.github.io/Logging_0192/tillsynsmail/A 23906-2026 tillsynsbegäran mail.docx", "A 23906-2026")</f>
        <v/>
      </c>
    </row>
    <row r="40" ht="15" customHeight="1">
      <c r="A40" t="inlineStr">
        <is>
          <t>A 32074-2023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45119</v>
      </c>
      <c r="E40" s="1" t="n">
        <v>46221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13.1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Grå kantarell</t>
        </is>
      </c>
      <c r="V40">
        <f>HYPERLINK("https://klasma.github.io/Logging_0192/artfynd/A 32074-2023 artfynd.xlsx", "A 32074-2023")</f>
        <v/>
      </c>
      <c r="W40">
        <f>HYPERLINK("https://klasma.github.io/Logging_0192/kartor/A 32074-2023 karta.png", "A 32074-2023")</f>
        <v/>
      </c>
      <c r="Y40">
        <f>HYPERLINK("https://klasma.github.io/Logging_0192/klagomål/A 32074-2023 FSC-klagomål.docx", "A 32074-2023")</f>
        <v/>
      </c>
      <c r="Z40">
        <f>HYPERLINK("https://klasma.github.io/Logging_0192/klagomålsmail/A 32074-2023 FSC-klagomål mail.docx", "A 32074-2023")</f>
        <v/>
      </c>
      <c r="AA40">
        <f>HYPERLINK("https://klasma.github.io/Logging_0192/tillsyn/A 32074-2023 tillsynsbegäran.docx", "A 32074-2023")</f>
        <v/>
      </c>
      <c r="AB40">
        <f>HYPERLINK("https://klasma.github.io/Logging_0192/tillsynsmail/A 32074-2023 tillsynsbegäran mail.docx", "A 32074-2023")</f>
        <v/>
      </c>
    </row>
    <row r="41" ht="15" customHeight="1">
      <c r="A41" t="inlineStr">
        <is>
          <t>A 38752-2021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44410</v>
      </c>
      <c r="E41" s="1" t="n">
        <v>46221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40753-2021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44420</v>
      </c>
      <c r="E42" s="1" t="n">
        <v>46221</v>
      </c>
      <c r="F42" t="inlineStr">
        <is>
          <t>STOCKHOLMS LÄN</t>
        </is>
      </c>
      <c r="G42" t="inlineStr">
        <is>
          <t>NYNÄSHAMN</t>
        </is>
      </c>
      <c r="H42" t="inlineStr">
        <is>
          <t>Kommuner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9964-2022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46221</v>
      </c>
      <c r="F43" t="inlineStr">
        <is>
          <t>STOCKHOLMS LÄN</t>
        </is>
      </c>
      <c r="G43" t="inlineStr">
        <is>
          <t>NYNÄSHAMN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70850-2021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46221</v>
      </c>
      <c r="F44" t="inlineStr">
        <is>
          <t>STOCKHOLMS LÄN</t>
        </is>
      </c>
      <c r="G44" t="inlineStr">
        <is>
          <t>NYNÄSHAMN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41378-2021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44424</v>
      </c>
      <c r="E45" s="1" t="n">
        <v>46221</v>
      </c>
      <c r="F45" t="inlineStr">
        <is>
          <t>STOCKHOLMS LÄN</t>
        </is>
      </c>
      <c r="G45" t="inlineStr">
        <is>
          <t>NYNÄSHAMN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40183-2021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46221</v>
      </c>
      <c r="F46" t="inlineStr">
        <is>
          <t>STOCKHOLMS LÄN</t>
        </is>
      </c>
      <c r="G46" t="inlineStr">
        <is>
          <t>NYNÄSHAMN</t>
        </is>
      </c>
      <c r="H46" t="inlineStr">
        <is>
          <t>Kommuner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73963-2021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46221</v>
      </c>
      <c r="F47" t="inlineStr">
        <is>
          <t>STOCKHOLMS LÄN</t>
        </is>
      </c>
      <c r="G47" t="inlineStr">
        <is>
          <t>NYNÄSHAMN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73966-2021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46221</v>
      </c>
      <c r="F48" t="inlineStr">
        <is>
          <t>STOCKHOLMS LÄN</t>
        </is>
      </c>
      <c r="G48" t="inlineStr">
        <is>
          <t>NYNÄSHAMN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73967-2021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44553</v>
      </c>
      <c r="E49" s="1" t="n">
        <v>46221</v>
      </c>
      <c r="F49" t="inlineStr">
        <is>
          <t>STOCKHOLMS LÄN</t>
        </is>
      </c>
      <c r="G49" t="inlineStr">
        <is>
          <t>NYNÄSHAMN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49657-2021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46221</v>
      </c>
      <c r="F50" t="inlineStr">
        <is>
          <t>STOCKHOLMS LÄN</t>
        </is>
      </c>
      <c r="G50" t="inlineStr">
        <is>
          <t>NYNÄSHAMN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48309-2022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44854</v>
      </c>
      <c r="E51" s="1" t="n">
        <v>46221</v>
      </c>
      <c r="F51" t="inlineStr">
        <is>
          <t>STOCKHOLMS LÄN</t>
        </is>
      </c>
      <c r="G51" t="inlineStr">
        <is>
          <t>NYNÄSHAMN</t>
        </is>
      </c>
      <c r="H51" t="inlineStr">
        <is>
          <t>Övriga statliga verk och myndigheter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37491-2022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46221</v>
      </c>
      <c r="F52" t="inlineStr">
        <is>
          <t>STOCKHOLMS LÄN</t>
        </is>
      </c>
      <c r="G52" t="inlineStr">
        <is>
          <t>NYNÄSHAMN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17991-2024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45419</v>
      </c>
      <c r="E53" s="1" t="n">
        <v>46221</v>
      </c>
      <c r="F53" t="inlineStr">
        <is>
          <t>STOCKHOLMS LÄN</t>
        </is>
      </c>
      <c r="G53" t="inlineStr">
        <is>
          <t>NYNÄSHAMN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37097-2021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44395</v>
      </c>
      <c r="E54" s="1" t="n">
        <v>46221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26501-2024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46221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46221</v>
      </c>
      <c r="F56" t="inlineStr">
        <is>
          <t>STOCKHOLMS LÄN</t>
        </is>
      </c>
      <c r="G56" t="inlineStr">
        <is>
          <t>NYNÄSHAMN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46221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46221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6775-2022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46221</v>
      </c>
      <c r="F59" t="inlineStr">
        <is>
          <t>STOCKHOLMS LÄN</t>
        </is>
      </c>
      <c r="G59" t="inlineStr">
        <is>
          <t>NYNÄSHAMN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8932-2023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46221</v>
      </c>
      <c r="F60" t="inlineStr">
        <is>
          <t>STOCKHOLMS LÄN</t>
        </is>
      </c>
      <c r="G60" t="inlineStr">
        <is>
          <t>NYNÄSHAMN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44574</v>
      </c>
      <c r="E61" s="1" t="n">
        <v>46221</v>
      </c>
      <c r="F61" t="inlineStr">
        <is>
          <t>STOCKHOLMS LÄN</t>
        </is>
      </c>
      <c r="G61" t="inlineStr">
        <is>
          <t>NYNÄSHAMN</t>
        </is>
      </c>
      <c r="H61" t="inlineStr">
        <is>
          <t>Kommuner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29811-2025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46221</v>
      </c>
      <c r="F62" t="inlineStr">
        <is>
          <t>STOCKHOLMS LÄN</t>
        </is>
      </c>
      <c r="G62" t="inlineStr">
        <is>
          <t>NYNÄSHAMN</t>
        </is>
      </c>
      <c r="H62" t="inlineStr">
        <is>
          <t>Övriga statliga verk och myndigheter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15176-2024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46221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46052</v>
      </c>
      <c r="E64" s="1" t="n">
        <v>46221</v>
      </c>
      <c r="F64" t="inlineStr">
        <is>
          <t>STOCKHOLMS LÄN</t>
        </is>
      </c>
      <c r="G64" t="inlineStr">
        <is>
          <t>NYNÄSHAMN</t>
        </is>
      </c>
      <c r="H64" t="inlineStr">
        <is>
          <t>Kyrkan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52953-2024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46221</v>
      </c>
      <c r="F65" t="inlineStr">
        <is>
          <t>STOCKHOLMS LÄN</t>
        </is>
      </c>
      <c r="G65" t="inlineStr">
        <is>
          <t>NYNÄSHAMN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13945-2025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46221</v>
      </c>
      <c r="F66" t="inlineStr">
        <is>
          <t>STOCKHOLMS LÄN</t>
        </is>
      </c>
      <c r="G66" t="inlineStr">
        <is>
          <t>NYNÄSHAMN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46857-2025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45928</v>
      </c>
      <c r="E67" s="1" t="n">
        <v>46221</v>
      </c>
      <c r="F67" t="inlineStr">
        <is>
          <t>STOCKHOLMS LÄN</t>
        </is>
      </c>
      <c r="G67" t="inlineStr">
        <is>
          <t>NYNÄSHAMN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25175-2023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45086</v>
      </c>
      <c r="E68" s="1" t="n">
        <v>46221</v>
      </c>
      <c r="F68" t="inlineStr">
        <is>
          <t>STOCKHOLMS LÄN</t>
        </is>
      </c>
      <c r="G68" t="inlineStr">
        <is>
          <t>NYNÄSHAMN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34385-2023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45139</v>
      </c>
      <c r="E69" s="1" t="n">
        <v>46221</v>
      </c>
      <c r="F69" t="inlineStr">
        <is>
          <t>STOCKHOLMS LÄN</t>
        </is>
      </c>
      <c r="G69" t="inlineStr">
        <is>
          <t>NYNÄSHAMN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52859-2024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46221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45935</v>
      </c>
      <c r="E71" s="1" t="n">
        <v>46221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63931-2021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44509</v>
      </c>
      <c r="E72" s="1" t="n">
        <v>46221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36468-2025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45869</v>
      </c>
      <c r="E73" s="1" t="n">
        <v>46221</v>
      </c>
      <c r="F73" t="inlineStr">
        <is>
          <t>STOCKHOLMS LÄN</t>
        </is>
      </c>
      <c r="G73" t="inlineStr">
        <is>
          <t>NYNÄSHAMN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36496-2025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45869</v>
      </c>
      <c r="E74" s="1" t="n">
        <v>46221</v>
      </c>
      <c r="F74" t="inlineStr">
        <is>
          <t>STOCKHOLMS LÄN</t>
        </is>
      </c>
      <c r="G74" t="inlineStr">
        <is>
          <t>NYNÄSHAMN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24288-2024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45457</v>
      </c>
      <c r="E75" s="1" t="n">
        <v>46221</v>
      </c>
      <c r="F75" t="inlineStr">
        <is>
          <t>STOCKHOLMS LÄN</t>
        </is>
      </c>
      <c r="G75" t="inlineStr">
        <is>
          <t>NYNÄSHAMN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52911-2024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45610</v>
      </c>
      <c r="E76" s="1" t="n">
        <v>46221</v>
      </c>
      <c r="F76" t="inlineStr">
        <is>
          <t>STOCKHOLMS LÄN</t>
        </is>
      </c>
      <c r="G76" t="inlineStr">
        <is>
          <t>NYNÄSHAMN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52950-2024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45610</v>
      </c>
      <c r="E77" s="1" t="n">
        <v>46221</v>
      </c>
      <c r="F77" t="inlineStr">
        <is>
          <t>STOCKHOLMS LÄN</t>
        </is>
      </c>
      <c r="G77" t="inlineStr">
        <is>
          <t>NYNÄSHAMN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51954-2025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45952</v>
      </c>
      <c r="E78" s="1" t="n">
        <v>46221</v>
      </c>
      <c r="F78" t="inlineStr">
        <is>
          <t>STOCKHOLMS LÄN</t>
        </is>
      </c>
      <c r="G78" t="inlineStr">
        <is>
          <t>NYNÄSHAMN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47089-2023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45196</v>
      </c>
      <c r="E79" s="1" t="n">
        <v>46221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30910-2023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45113</v>
      </c>
      <c r="E80" s="1" t="n">
        <v>46221</v>
      </c>
      <c r="F80" t="inlineStr">
        <is>
          <t>STOCKHOLMS LÄN</t>
        </is>
      </c>
      <c r="G80" t="inlineStr">
        <is>
          <t>NYNÄSHAMN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56210-2025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46221</v>
      </c>
      <c r="F81" t="inlineStr">
        <is>
          <t>STOCKHOLMS LÄN</t>
        </is>
      </c>
      <c r="G81" t="inlineStr">
        <is>
          <t>NYNÄSHAMN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56385-2025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46221</v>
      </c>
      <c r="F82" t="inlineStr">
        <is>
          <t>STOCKHOLMS LÄN</t>
        </is>
      </c>
      <c r="G82" t="inlineStr">
        <is>
          <t>NYNÄSHAMN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37103-2021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44396</v>
      </c>
      <c r="E83" s="1" t="n">
        <v>46221</v>
      </c>
      <c r="F83" t="inlineStr">
        <is>
          <t>STOCKHOLMS LÄN</t>
        </is>
      </c>
      <c r="G83" t="inlineStr">
        <is>
          <t>NYNÄSHAMN</t>
        </is>
      </c>
      <c r="I83" t="n">
        <v>12.4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37104-2021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44396</v>
      </c>
      <c r="E84" s="1" t="n">
        <v>46221</v>
      </c>
      <c r="F84" t="inlineStr">
        <is>
          <t>STOCKHOLMS LÄN</t>
        </is>
      </c>
      <c r="G84" t="inlineStr">
        <is>
          <t>NYNÄSHAMN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12031-2026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46085</v>
      </c>
      <c r="E85" s="1" t="n">
        <v>46221</v>
      </c>
      <c r="F85" t="inlineStr">
        <is>
          <t>STOCKHOLMS LÄN</t>
        </is>
      </c>
      <c r="G85" t="inlineStr">
        <is>
          <t>NYNÄSHAMN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12032-2026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46085</v>
      </c>
      <c r="E86" s="1" t="n">
        <v>46221</v>
      </c>
      <c r="F86" t="inlineStr">
        <is>
          <t>STOCKHOLMS LÄN</t>
        </is>
      </c>
      <c r="G86" t="inlineStr">
        <is>
          <t>NYNÄSHAMN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34660-2023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45140</v>
      </c>
      <c r="E87" s="1" t="n">
        <v>46221</v>
      </c>
      <c r="F87" t="inlineStr">
        <is>
          <t>STOCKHOLMS LÄN</t>
        </is>
      </c>
      <c r="G87" t="inlineStr">
        <is>
          <t>NYNÄSHAMN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9062-2023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44979</v>
      </c>
      <c r="E88" s="1" t="n">
        <v>46221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47128-2023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45196</v>
      </c>
      <c r="E89" s="1" t="n">
        <v>46221</v>
      </c>
      <c r="F89" t="inlineStr">
        <is>
          <t>STOCKHOLMS LÄN</t>
        </is>
      </c>
      <c r="G89" t="inlineStr">
        <is>
          <t>NYNÄSHAMN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2367-2023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44942</v>
      </c>
      <c r="E90" s="1" t="n">
        <v>46221</v>
      </c>
      <c r="F90" t="inlineStr">
        <is>
          <t>STOCKHOLMS LÄN</t>
        </is>
      </c>
      <c r="G90" t="inlineStr">
        <is>
          <t>NYNÄSHAMN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46221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17990-2024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46221</v>
      </c>
      <c r="F92" t="inlineStr">
        <is>
          <t>STOCKHOLMS LÄN</t>
        </is>
      </c>
      <c r="G92" t="inlineStr">
        <is>
          <t>NYNÄSHAMN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18411-2025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45762</v>
      </c>
      <c r="E93" s="1" t="n">
        <v>46221</v>
      </c>
      <c r="F93" t="inlineStr">
        <is>
          <t>STOCKHOLMS LÄN</t>
        </is>
      </c>
      <c r="G93" t="inlineStr">
        <is>
          <t>NYNÄSHAMN</t>
        </is>
      </c>
      <c r="I93" t="n">
        <v>11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60977-2022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44908</v>
      </c>
      <c r="E94" s="1" t="n">
        <v>46221</v>
      </c>
      <c r="F94" t="inlineStr">
        <is>
          <t>STOCKHOLMS LÄN</t>
        </is>
      </c>
      <c r="G94" t="inlineStr">
        <is>
          <t>NYNÄSHAMN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21192-2023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45062</v>
      </c>
      <c r="E95" s="1" t="n">
        <v>46221</v>
      </c>
      <c r="F95" t="inlineStr">
        <is>
          <t>STOCKHOLMS LÄN</t>
        </is>
      </c>
      <c r="G95" t="inlineStr">
        <is>
          <t>NYNÄSHAMN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36052-2023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46221</v>
      </c>
      <c r="F96" t="inlineStr">
        <is>
          <t>STOCKHOLMS LÄN</t>
        </is>
      </c>
      <c r="G96" t="inlineStr">
        <is>
          <t>NYNÄSHAMN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48978-2023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45209</v>
      </c>
      <c r="E97" s="1" t="n">
        <v>46221</v>
      </c>
      <c r="F97" t="inlineStr">
        <is>
          <t>STOCKHOLMS LÄN</t>
        </is>
      </c>
      <c r="G97" t="inlineStr">
        <is>
          <t>NYNÄSHAMN</t>
        </is>
      </c>
      <c r="H97" t="inlineStr">
        <is>
          <t>Kyrkan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41680-2023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45173</v>
      </c>
      <c r="E98" s="1" t="n">
        <v>46221</v>
      </c>
      <c r="F98" t="inlineStr">
        <is>
          <t>STOCKHOLMS LÄN</t>
        </is>
      </c>
      <c r="G98" t="inlineStr">
        <is>
          <t>NYNÄSHAMN</t>
        </is>
      </c>
      <c r="I98" t="n">
        <v>12.3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26190-2022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46221</v>
      </c>
      <c r="F99" t="inlineStr">
        <is>
          <t>STOCKHOLMS LÄN</t>
        </is>
      </c>
      <c r="G99" t="inlineStr">
        <is>
          <t>NYNÄSHAMN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63463-2023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45274</v>
      </c>
      <c r="E100" s="1" t="n">
        <v>46221</v>
      </c>
      <c r="F100" t="inlineStr">
        <is>
          <t>STOCKHOLMS LÄN</t>
        </is>
      </c>
      <c r="G100" t="inlineStr">
        <is>
          <t>NYNÄSHAMN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64494-2023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45280</v>
      </c>
      <c r="E101" s="1" t="n">
        <v>46221</v>
      </c>
      <c r="F101" t="inlineStr">
        <is>
          <t>STOCKHOLMS LÄN</t>
        </is>
      </c>
      <c r="G101" t="inlineStr">
        <is>
          <t>NYNÄSHAMN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55871-2023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45239</v>
      </c>
      <c r="E102" s="1" t="n">
        <v>46221</v>
      </c>
      <c r="F102" t="inlineStr">
        <is>
          <t>STOCKHOLMS LÄN</t>
        </is>
      </c>
      <c r="G102" t="inlineStr">
        <is>
          <t>NYNÄSHAMN</t>
        </is>
      </c>
      <c r="H102" t="inlineStr">
        <is>
          <t>Kommuner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62038-2023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45266</v>
      </c>
      <c r="E103" s="1" t="n">
        <v>46221</v>
      </c>
      <c r="F103" t="inlineStr">
        <is>
          <t>STOCKHOLMS LÄN</t>
        </is>
      </c>
      <c r="G103" t="inlineStr">
        <is>
          <t>NYNÄSHAMN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7180-2024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45344</v>
      </c>
      <c r="E104" s="1" t="n">
        <v>46221</v>
      </c>
      <c r="F104" t="inlineStr">
        <is>
          <t>STOCKHOLMS LÄN</t>
        </is>
      </c>
      <c r="G104" t="inlineStr">
        <is>
          <t>NYNÄSHAMN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41677-2023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45173</v>
      </c>
      <c r="E105" s="1" t="n">
        <v>46221</v>
      </c>
      <c r="F105" t="inlineStr">
        <is>
          <t>STOCKHOLMS LÄN</t>
        </is>
      </c>
      <c r="G105" t="inlineStr">
        <is>
          <t>NYNÄSHAMN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62878-2023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46221</v>
      </c>
      <c r="F106" t="inlineStr">
        <is>
          <t>STOCKHOLMS LÄN</t>
        </is>
      </c>
      <c r="G106" t="inlineStr">
        <is>
          <t>NYNÄSHAMN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17634-2022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44680</v>
      </c>
      <c r="E107" s="1" t="n">
        <v>46221</v>
      </c>
      <c r="F107" t="inlineStr">
        <is>
          <t>STOCKHOLMS LÄN</t>
        </is>
      </c>
      <c r="G107" t="inlineStr">
        <is>
          <t>NYNÄSHAMN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46221</v>
      </c>
      <c r="F108" t="inlineStr">
        <is>
          <t>STOCKHOLMS LÄN</t>
        </is>
      </c>
      <c r="G108" t="inlineStr">
        <is>
          <t>NYNÄSHAMN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64411-2023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45280</v>
      </c>
      <c r="E109" s="1" t="n">
        <v>46221</v>
      </c>
      <c r="F109" t="inlineStr">
        <is>
          <t>STOCKHOLMS LÄN</t>
        </is>
      </c>
      <c r="G109" t="inlineStr">
        <is>
          <t>NYNÄSHAMN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52910-2024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45610</v>
      </c>
      <c r="E110" s="1" t="n">
        <v>46221</v>
      </c>
      <c r="F110" t="inlineStr">
        <is>
          <t>STOCKHOLMS LÄN</t>
        </is>
      </c>
      <c r="G110" t="inlineStr">
        <is>
          <t>NYNÄSHAMN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44624-2023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45184</v>
      </c>
      <c r="E111" s="1" t="n">
        <v>46221</v>
      </c>
      <c r="F111" t="inlineStr">
        <is>
          <t>STOCKHOLMS LÄN</t>
        </is>
      </c>
      <c r="G111" t="inlineStr">
        <is>
          <t>NYNÄSHAMN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46210</v>
      </c>
      <c r="E112" s="1" t="n">
        <v>46221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30479-2026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46221</v>
      </c>
      <c r="F113" t="inlineStr">
        <is>
          <t>STOCKHOLMS LÄN</t>
        </is>
      </c>
      <c r="G113" t="inlineStr">
        <is>
          <t>NYNÄSHAMN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33787-2024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45520</v>
      </c>
      <c r="E114" s="1" t="n">
        <v>46221</v>
      </c>
      <c r="F114" t="inlineStr">
        <is>
          <t>STOCKHOLMS LÄN</t>
        </is>
      </c>
      <c r="G114" t="inlineStr">
        <is>
          <t>NYNÄSHAMN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30946-2026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46213</v>
      </c>
      <c r="E115" s="1" t="n">
        <v>46221</v>
      </c>
      <c r="F115" t="inlineStr">
        <is>
          <t>STOCKHOLMS LÄN</t>
        </is>
      </c>
      <c r="G115" t="inlineStr">
        <is>
          <t>NYNÄSHAMN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24595-2026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46170</v>
      </c>
      <c r="E116" s="1" t="n">
        <v>46221</v>
      </c>
      <c r="F116" t="inlineStr">
        <is>
          <t>STOCKHOLMS LÄN</t>
        </is>
      </c>
      <c r="G116" t="inlineStr">
        <is>
          <t>NYNÄSHAMN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41281-2021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44424</v>
      </c>
      <c r="E117" s="1" t="n">
        <v>46221</v>
      </c>
      <c r="F117" t="inlineStr">
        <is>
          <t>STOCKHOLMS LÄN</t>
        </is>
      </c>
      <c r="G117" t="inlineStr">
        <is>
          <t>NYNÄSHAMN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35356-2023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46221</v>
      </c>
      <c r="F118" t="inlineStr">
        <is>
          <t>STOCKHOLMS LÄN</t>
        </is>
      </c>
      <c r="G118" t="inlineStr">
        <is>
          <t>NYNÄSHAMN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33667-2022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44789</v>
      </c>
      <c r="E119" s="1" t="n">
        <v>46221</v>
      </c>
      <c r="F119" t="inlineStr">
        <is>
          <t>STOCKHOLMS LÄN</t>
        </is>
      </c>
      <c r="G119" t="inlineStr">
        <is>
          <t>NYNÄSHAMN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16793-2023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45028</v>
      </c>
      <c r="E120" s="1" t="n">
        <v>46221</v>
      </c>
      <c r="F120" t="inlineStr">
        <is>
          <t>STOCKHOLMS LÄN</t>
        </is>
      </c>
      <c r="G120" t="inlineStr">
        <is>
          <t>NYNÄSHAMN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10224-2023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44986</v>
      </c>
      <c r="E121" s="1" t="n">
        <v>46221</v>
      </c>
      <c r="F121" t="inlineStr">
        <is>
          <t>STOCKHOLMS LÄN</t>
        </is>
      </c>
      <c r="G121" t="inlineStr">
        <is>
          <t>NYNÄSHAMN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45664</v>
      </c>
      <c r="E122" s="1" t="n">
        <v>46221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2170-2023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46221</v>
      </c>
      <c r="F123" t="inlineStr">
        <is>
          <t>STOCKHOLMS LÄN</t>
        </is>
      </c>
      <c r="G123" t="inlineStr">
        <is>
          <t>NYNÄSHAMN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41767-2024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45561</v>
      </c>
      <c r="E124" s="1" t="n">
        <v>46221</v>
      </c>
      <c r="F124" t="inlineStr">
        <is>
          <t>STOCKHOLMS LÄN</t>
        </is>
      </c>
      <c r="G124" t="inlineStr">
        <is>
          <t>NYNÄSHAMN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15465-2025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45747</v>
      </c>
      <c r="E125" s="1" t="n">
        <v>46221</v>
      </c>
      <c r="F125" t="inlineStr">
        <is>
          <t>STOCKHOLMS LÄN</t>
        </is>
      </c>
      <c r="G125" t="inlineStr">
        <is>
          <t>NYNÄSHAMN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1658-2022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44574</v>
      </c>
      <c r="E126" s="1" t="n">
        <v>46221</v>
      </c>
      <c r="F126" t="inlineStr">
        <is>
          <t>STOCKHOLMS LÄN</t>
        </is>
      </c>
      <c r="G126" t="inlineStr">
        <is>
          <t>NYNÄSHAMN</t>
        </is>
      </c>
      <c r="H126" t="inlineStr">
        <is>
          <t>Kommuner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21202-2025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45779</v>
      </c>
      <c r="E127" s="1" t="n">
        <v>46221</v>
      </c>
      <c r="F127" t="inlineStr">
        <is>
          <t>STOCKHOLMS LÄN</t>
        </is>
      </c>
      <c r="G127" t="inlineStr">
        <is>
          <t>NYNÄSHAMN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22730-2025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45789</v>
      </c>
      <c r="E128" s="1" t="n">
        <v>46221</v>
      </c>
      <c r="F128" t="inlineStr">
        <is>
          <t>STOCKHOLMS LÄN</t>
        </is>
      </c>
      <c r="G128" t="inlineStr">
        <is>
          <t>NYNÄSHAMN</t>
        </is>
      </c>
      <c r="H128" t="inlineStr">
        <is>
          <t>Kommuner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37098-2021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44396</v>
      </c>
      <c r="E129" s="1" t="n">
        <v>46221</v>
      </c>
      <c r="F129" t="inlineStr">
        <is>
          <t>STOCKHOLMS LÄN</t>
        </is>
      </c>
      <c r="G129" t="inlineStr">
        <is>
          <t>NYNÄSHAMN</t>
        </is>
      </c>
      <c r="I129" t="n">
        <v>12.9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2697-2024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45482</v>
      </c>
      <c r="E130" s="1" t="n">
        <v>46221</v>
      </c>
      <c r="F130" t="inlineStr">
        <is>
          <t>STOCKHOLMS LÄN</t>
        </is>
      </c>
      <c r="G130" t="inlineStr">
        <is>
          <t>NYNÄSHAMN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4477-2022</t>
        </is>
      </c>
      <c r="B131" t="inlineStr">
        <is>
          <t>samrådsanmälan</t>
        </is>
      </c>
      <c r="C131" t="inlineStr">
        <is>
          <t>Skogsbilväg</t>
        </is>
      </c>
      <c r="D131" s="1" t="n">
        <v>44787</v>
      </c>
      <c r="E131" s="1" t="n">
        <v>46221</v>
      </c>
      <c r="F131" t="inlineStr">
        <is>
          <t>STOCKHOLMS LÄN</t>
        </is>
      </c>
      <c r="G131" t="inlineStr">
        <is>
          <t>NYNÄSHAMN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>
      <c r="A132" t="inlineStr">
        <is>
          <t>S 1845-2026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46198</v>
      </c>
      <c r="E132" s="1" t="n">
        <v>46221</v>
      </c>
      <c r="F132" t="inlineStr">
        <is>
          <t>STOCKHOLMS LÄN</t>
        </is>
      </c>
      <c r="G132" t="inlineStr">
        <is>
          <t>NYNÄSHAMN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2026-07-18T01:22:41Z</dcterms:created>
  <dcterms:modified xmlns:dcterms="http://purl.org/dc/terms/" xmlns:xsi="http://www.w3.org/2001/XMLSchema-instance" xsi:type="dcterms:W3CDTF">2026-07-18T01:22:41Z</dcterms:modified>
</cp:coreProperties>
</file>