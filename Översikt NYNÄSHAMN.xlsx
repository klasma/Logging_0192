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46265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46265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46265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46265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46265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46265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46265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46265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46265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46265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46265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46265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46265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9268-2023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44980</v>
      </c>
      <c r="E15" s="1" t="n">
        <v>46265</v>
      </c>
      <c r="F15" t="inlineStr">
        <is>
          <t>STOCKHOLMS LÄN</t>
        </is>
      </c>
      <c r="G15" t="inlineStr">
        <is>
          <t>NYNÄSHAMN</t>
        </is>
      </c>
      <c r="I15" t="n">
        <v>4.9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Tallticka
Blodticka
Mindre märgborre</t>
        </is>
      </c>
      <c r="W15">
        <f>HYPERLINK("https://klasma.github.io/Logging_0192/artfynd/A 9268-2023 artfynd.xlsx", "A 9268-2023")</f>
        <v/>
      </c>
      <c r="X15">
        <f>HYPERLINK("https://klasma.github.io/Logging_0192/kartor/A 9268-2023 karta.png", "A 9268-2023")</f>
        <v/>
      </c>
      <c r="Y15">
        <f>HYPERLINK("https://klasma.github.io/Logging_0192/kartor_geotiff/A 9268-2023 georefererad karta.tif", "A 9268-2023")</f>
        <v/>
      </c>
      <c r="AA15">
        <f>HYPERLINK("https://klasma.github.io/Logging_0192/klagomål/A 9268-2023 FSC-klagomål.docx", "A 9268-2023")</f>
        <v/>
      </c>
      <c r="AB15">
        <f>HYPERLINK("https://klasma.github.io/Logging_0192/klagomålsmail/A 9268-2023 FSC-klagomål mail.docx", "A 9268-2023")</f>
        <v/>
      </c>
      <c r="AC15">
        <f>HYPERLINK("https://klasma.github.io/Logging_0192/tillsyn/A 9268-2023 tillsynsbegäran.docx", "A 9268-2023")</f>
        <v/>
      </c>
      <c r="AD15">
        <f>HYPERLINK("https://klasma.github.io/Logging_0192/tillsynsmail/A 9268-2023 tillsynsbegäran mail.docx", "A 9268-2023")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46265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46265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46265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46265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46265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46265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46265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46265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46265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46265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46265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46265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46265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46265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46265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46265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46265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46265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46265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46265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46265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46265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46265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46265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46265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46265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46265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46265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49657-2021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46265</v>
      </c>
      <c r="F44" t="inlineStr">
        <is>
          <t>STOCKHOLMS LÄN</t>
        </is>
      </c>
      <c r="G44" t="inlineStr">
        <is>
          <t>NYNÄSHAMN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46265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45779</v>
      </c>
      <c r="E46" s="1" t="n">
        <v>46265</v>
      </c>
      <c r="F46" t="inlineStr">
        <is>
          <t>STOCKHOLMS LÄN</t>
        </is>
      </c>
      <c r="G46" t="inlineStr">
        <is>
          <t>NYNÄSHAMN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51954-2025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45952</v>
      </c>
      <c r="E47" s="1" t="n">
        <v>46265</v>
      </c>
      <c r="F47" t="inlineStr">
        <is>
          <t>STOCKHOLMS LÄN</t>
        </is>
      </c>
      <c r="G47" t="inlineStr">
        <is>
          <t>NYNÄSHAMN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46265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46265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46265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45789</v>
      </c>
      <c r="E51" s="1" t="n">
        <v>46265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46265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46265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46265</v>
      </c>
      <c r="F54" t="inlineStr">
        <is>
          <t>STOCKHOLMS LÄN</t>
        </is>
      </c>
      <c r="G54" t="inlineStr">
        <is>
          <t>NYNÄSHAMN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56210-2025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46265</v>
      </c>
      <c r="F55" t="inlineStr">
        <is>
          <t>STOCKHOLMS LÄN</t>
        </is>
      </c>
      <c r="G55" t="inlineStr">
        <is>
          <t>NYNÄSHAMN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45974</v>
      </c>
      <c r="E56" s="1" t="n">
        <v>46265</v>
      </c>
      <c r="F56" t="inlineStr">
        <is>
          <t>STOCKHOLMS LÄN</t>
        </is>
      </c>
      <c r="G56" t="inlineStr">
        <is>
          <t>NYNÄSHAMN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46265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46265</v>
      </c>
      <c r="F58" t="inlineStr">
        <is>
          <t>STOCKHOLMS LÄN</t>
        </is>
      </c>
      <c r="G58" t="inlineStr">
        <is>
          <t>NYNÄSHAMN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45928</v>
      </c>
      <c r="E59" s="1" t="n">
        <v>46265</v>
      </c>
      <c r="F59" t="inlineStr">
        <is>
          <t>STOCKHOLMS LÄN</t>
        </is>
      </c>
      <c r="G59" t="inlineStr">
        <is>
          <t>NYNÄSHAMN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45935</v>
      </c>
      <c r="E60" s="1" t="n">
        <v>46265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46265</v>
      </c>
      <c r="F61" t="inlineStr">
        <is>
          <t>STOCKHOLMS LÄN</t>
        </is>
      </c>
      <c r="G61" t="inlineStr">
        <is>
          <t>NYNÄSHAMN</t>
        </is>
      </c>
      <c r="H61" t="inlineStr">
        <is>
          <t>Övriga statliga verk och myndigheter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46265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46265</v>
      </c>
      <c r="F63" t="inlineStr">
        <is>
          <t>STOCKHOLMS LÄN</t>
        </is>
      </c>
      <c r="G63" t="inlineStr">
        <is>
          <t>NYNÄSHAMN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46265</v>
      </c>
      <c r="F64" t="inlineStr">
        <is>
          <t>STOCKHOLMS LÄN</t>
        </is>
      </c>
      <c r="G64" t="inlineStr">
        <is>
          <t>NYNÄSHAMN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46265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46265</v>
      </c>
      <c r="F66" t="inlineStr">
        <is>
          <t>STOCKHOLMS LÄN</t>
        </is>
      </c>
      <c r="G66" t="inlineStr">
        <is>
          <t>NYNÄSHAMN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25175-2023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45086</v>
      </c>
      <c r="E67" s="1" t="n">
        <v>46265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45139</v>
      </c>
      <c r="E68" s="1" t="n">
        <v>46265</v>
      </c>
      <c r="F68" t="inlineStr">
        <is>
          <t>STOCKHOLMS LÄN</t>
        </is>
      </c>
      <c r="G68" t="inlineStr">
        <is>
          <t>NYNÄSHAMN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46265</v>
      </c>
      <c r="F69" t="inlineStr">
        <is>
          <t>STOCKHOLMS LÄN</t>
        </is>
      </c>
      <c r="G69" t="inlineStr">
        <is>
          <t>NYNÄSHAMN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46265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46265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46265</v>
      </c>
      <c r="F72" t="inlineStr">
        <is>
          <t>STOCKHOLMS LÄN</t>
        </is>
      </c>
      <c r="G72" t="inlineStr">
        <is>
          <t>NYNÄSHAMN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46265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47089-2023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46265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30910-2023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45113</v>
      </c>
      <c r="E75" s="1" t="n">
        <v>46265</v>
      </c>
      <c r="F75" t="inlineStr">
        <is>
          <t>STOCKHOLMS LÄN</t>
        </is>
      </c>
      <c r="G75" t="inlineStr">
        <is>
          <t>NYNÄSHAMN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46052</v>
      </c>
      <c r="E76" s="1" t="n">
        <v>46265</v>
      </c>
      <c r="F76" t="inlineStr">
        <is>
          <t>STOCKHOLMS LÄN</t>
        </is>
      </c>
      <c r="G76" t="inlineStr">
        <is>
          <t>NYNÄSHAMN</t>
        </is>
      </c>
      <c r="H76" t="inlineStr">
        <is>
          <t>Kyrkan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45140</v>
      </c>
      <c r="E77" s="1" t="n">
        <v>46265</v>
      </c>
      <c r="F77" t="inlineStr">
        <is>
          <t>STOCKHOLMS LÄN</t>
        </is>
      </c>
      <c r="G77" t="inlineStr">
        <is>
          <t>NYNÄSHAMN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9062-2023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44979</v>
      </c>
      <c r="E78" s="1" t="n">
        <v>46265</v>
      </c>
      <c r="F78" t="inlineStr">
        <is>
          <t>STOCKHOLMS LÄN</t>
        </is>
      </c>
      <c r="G78" t="inlineStr">
        <is>
          <t>NYNÄSHAMN</t>
        </is>
      </c>
      <c r="H78" t="inlineStr">
        <is>
          <t>Kommuner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46265</v>
      </c>
      <c r="F79" t="inlineStr">
        <is>
          <t>STOCKHOLMS LÄN</t>
        </is>
      </c>
      <c r="G79" t="inlineStr">
        <is>
          <t>NYNÄSHAMN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44942</v>
      </c>
      <c r="E80" s="1" t="n">
        <v>46265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26505-2024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46265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46265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46265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46265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46265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46265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46265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18411-2025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45762</v>
      </c>
      <c r="E88" s="1" t="n">
        <v>46265</v>
      </c>
      <c r="F88" t="inlineStr">
        <is>
          <t>STOCKHOLMS LÄN</t>
        </is>
      </c>
      <c r="G88" t="inlineStr">
        <is>
          <t>NYNÄSHAMN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46265</v>
      </c>
      <c r="F89" t="inlineStr">
        <is>
          <t>STOCKHOLMS LÄN</t>
        </is>
      </c>
      <c r="G89" t="inlineStr">
        <is>
          <t>NYNÄSHAMN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60977-2022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44908</v>
      </c>
      <c r="E90" s="1" t="n">
        <v>46265</v>
      </c>
      <c r="F90" t="inlineStr">
        <is>
          <t>STOCKHOLMS LÄN</t>
        </is>
      </c>
      <c r="G90" t="inlineStr">
        <is>
          <t>NYNÄSHAMN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45280</v>
      </c>
      <c r="E91" s="1" t="n">
        <v>46265</v>
      </c>
      <c r="F91" t="inlineStr">
        <is>
          <t>STOCKHOLMS LÄN</t>
        </is>
      </c>
      <c r="G91" t="inlineStr">
        <is>
          <t>NYNÄSHAMN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55871-2023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45239</v>
      </c>
      <c r="E92" s="1" t="n">
        <v>46265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45266</v>
      </c>
      <c r="E93" s="1" t="n">
        <v>46265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7180-2024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45344</v>
      </c>
      <c r="E94" s="1" t="n">
        <v>46265</v>
      </c>
      <c r="F94" t="inlineStr">
        <is>
          <t>STOCKHOLMS LÄN</t>
        </is>
      </c>
      <c r="G94" t="inlineStr">
        <is>
          <t>NYNÄSHAMN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45173</v>
      </c>
      <c r="E95" s="1" t="n">
        <v>46265</v>
      </c>
      <c r="F95" t="inlineStr">
        <is>
          <t>STOCKHOLMS LÄN</t>
        </is>
      </c>
      <c r="G95" t="inlineStr">
        <is>
          <t>NYNÄSHAMN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46265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46265</v>
      </c>
      <c r="F97" t="inlineStr">
        <is>
          <t>STOCKHOLMS LÄN</t>
        </is>
      </c>
      <c r="G97" t="inlineStr">
        <is>
          <t>NYNÄSHAMN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46265</v>
      </c>
      <c r="F98" t="inlineStr">
        <is>
          <t>STOCKHOLMS LÄN</t>
        </is>
      </c>
      <c r="G98" t="inlineStr">
        <is>
          <t>NYNÄSHAMN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46265</v>
      </c>
      <c r="F99" t="inlineStr">
        <is>
          <t>STOCKHOLMS LÄN</t>
        </is>
      </c>
      <c r="G99" t="inlineStr">
        <is>
          <t>NYNÄSHAMN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46265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45184</v>
      </c>
      <c r="E101" s="1" t="n">
        <v>46265</v>
      </c>
      <c r="F101" t="inlineStr">
        <is>
          <t>STOCKHOLMS LÄN</t>
        </is>
      </c>
      <c r="G101" t="inlineStr">
        <is>
          <t>NYNÄSHAMN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45520</v>
      </c>
      <c r="E102" s="1" t="n">
        <v>46265</v>
      </c>
      <c r="F102" t="inlineStr">
        <is>
          <t>STOCKHOLMS LÄN</t>
        </is>
      </c>
      <c r="G102" t="inlineStr">
        <is>
          <t>NYNÄSHAMN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46265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33667-2022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44789</v>
      </c>
      <c r="E104" s="1" t="n">
        <v>46265</v>
      </c>
      <c r="F104" t="inlineStr">
        <is>
          <t>STOCKHOLMS LÄN</t>
        </is>
      </c>
      <c r="G104" t="inlineStr">
        <is>
          <t>NYNÄSHAMN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46265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46265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46265</v>
      </c>
      <c r="F107" t="inlineStr">
        <is>
          <t>STOCKHOLMS LÄN</t>
        </is>
      </c>
      <c r="G107" t="inlineStr">
        <is>
          <t>NYNÄSHAMN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44941</v>
      </c>
      <c r="E108" s="1" t="n">
        <v>46265</v>
      </c>
      <c r="F108" t="inlineStr">
        <is>
          <t>STOCKHOLMS LÄN</t>
        </is>
      </c>
      <c r="G108" t="inlineStr">
        <is>
          <t>NYNÄSHAMN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41767-2024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45561</v>
      </c>
      <c r="E109" s="1" t="n">
        <v>46265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46265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46265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46170</v>
      </c>
      <c r="E112" s="1" t="n">
        <v>46265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46265</v>
      </c>
      <c r="F113" t="inlineStr">
        <is>
          <t>STOCKHOLMS LÄN</t>
        </is>
      </c>
      <c r="G113" t="inlineStr">
        <is>
          <t>NYNÄSHAMN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46265</v>
      </c>
      <c r="F114" t="inlineStr">
        <is>
          <t>STOCKHOLMS LÄN</t>
        </is>
      </c>
      <c r="G114" t="inlineStr">
        <is>
          <t>NYNÄSHAMN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46244</v>
      </c>
      <c r="E115" s="1" t="n">
        <v>46265</v>
      </c>
      <c r="F115" t="inlineStr">
        <is>
          <t>STOCKHOLMS LÄN</t>
        </is>
      </c>
      <c r="G115" t="inlineStr">
        <is>
          <t>NYNÄSHAMN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46245</v>
      </c>
      <c r="E116" s="1" t="n">
        <v>46265</v>
      </c>
      <c r="F116" t="inlineStr">
        <is>
          <t>STOCKHOLMS LÄN</t>
        </is>
      </c>
      <c r="G116" t="inlineStr">
        <is>
          <t>NYNÄSHAMN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46265</v>
      </c>
      <c r="F117" t="inlineStr">
        <is>
          <t>STOCKHOLMS LÄN</t>
        </is>
      </c>
      <c r="G117" t="inlineStr">
        <is>
          <t>NYNÄSHAMN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46265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12032-2026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46085</v>
      </c>
      <c r="E119" s="1" t="n">
        <v>46265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30476-2026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46210</v>
      </c>
      <c r="E120" s="1" t="n">
        <v>46265</v>
      </c>
      <c r="F120" t="inlineStr">
        <is>
          <t>STOCKHOLMS LÄN</t>
        </is>
      </c>
      <c r="G120" t="inlineStr">
        <is>
          <t>NYNÄSHAMN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46265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46265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46265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2026-08-31T09:58:03Z</dcterms:created>
  <dcterms:modified xmlns:dcterms="http://purl.org/dc/terms/" xmlns:xsi="http://www.w3.org/2001/XMLSchema-instance" xsi:type="dcterms:W3CDTF">2026-08-31T09:58:03Z</dcterms:modified>
</cp:coreProperties>
</file>