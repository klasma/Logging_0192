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46291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46291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46291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46291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46291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46291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46291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46291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46291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46291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46291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46291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46291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46291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46291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46291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46291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23906-2026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46291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7.9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HYPERLINK("https://klasma.github.io/Logging_0192/artfynd/A 23906-2026 artfynd.xlsx", "A 23906-2026")</f>
        <v/>
      </c>
      <c r="X30">
        <f>HYPERLINK("https://klasma.github.io/Logging_0192/kartor/A 23906-2026 karta.png", "A 23906-2026")</f>
        <v/>
      </c>
      <c r="Y30">
        <f>HYPERLINK("https://klasma.github.io/Logging_0192/kartor_geotiff/A 23906-2026 georefererad karta.tif", "A 23906-2026")</f>
        <v/>
      </c>
      <c r="AA30">
        <f>HYPERLINK("https://klasma.github.io/Logging_0192/klagomål/A 23906-2026 FSC-klagomål.docx", "A 23906-2026")</f>
        <v/>
      </c>
      <c r="AB30">
        <f>HYPERLINK("https://klasma.github.io/Logging_0192/klagomålsmail/A 23906-2026 FSC-klagomål mail.docx", "A 23906-2026")</f>
        <v/>
      </c>
      <c r="AC30">
        <f>HYPERLINK("https://klasma.github.io/Logging_0192/tillsyn/A 23906-2026 tillsynsbegäran.docx", "A 23906-2026")</f>
        <v/>
      </c>
      <c r="AD30">
        <f>HYPERLINK("https://klasma.github.io/Logging_0192/tillsynsmail/A 23906-2026 tillsynsbegäran mail.docx", "A 23906-2026")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46291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46291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46291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46291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46291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46291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46291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46291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46291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46291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46291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46291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46291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46291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46291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46291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46291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46291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46291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46291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46291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46052</v>
      </c>
      <c r="E53" s="1" t="n">
        <v>46291</v>
      </c>
      <c r="F53" t="inlineStr">
        <is>
          <t>STOCKHOLMS LÄN</t>
        </is>
      </c>
      <c r="G53" t="inlineStr">
        <is>
          <t>NYNÄSHAMN</t>
        </is>
      </c>
      <c r="H53" t="inlineStr">
        <is>
          <t>Kyrkan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46291</v>
      </c>
      <c r="F54" t="inlineStr">
        <is>
          <t>STOCKHOLMS LÄN</t>
        </is>
      </c>
      <c r="G54" t="inlineStr">
        <is>
          <t>NYNÄSHAMN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45935</v>
      </c>
      <c r="E55" s="1" t="n">
        <v>46291</v>
      </c>
      <c r="F55" t="inlineStr">
        <is>
          <t>STOCKHOLMS LÄN</t>
        </is>
      </c>
      <c r="G55" t="inlineStr">
        <is>
          <t>NYNÄSHAMN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46291</v>
      </c>
      <c r="F56" t="inlineStr">
        <is>
          <t>STOCKHOLMS LÄN</t>
        </is>
      </c>
      <c r="G56" t="inlineStr">
        <is>
          <t>NYNÄSHAMN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46291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45086</v>
      </c>
      <c r="E58" s="1" t="n">
        <v>46291</v>
      </c>
      <c r="F58" t="inlineStr">
        <is>
          <t>STOCKHOLMS LÄN</t>
        </is>
      </c>
      <c r="G58" t="inlineStr">
        <is>
          <t>NYNÄSHAMN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46291</v>
      </c>
      <c r="F59" t="inlineStr">
        <is>
          <t>STOCKHOLMS LÄN</t>
        </is>
      </c>
      <c r="G59" t="inlineStr">
        <is>
          <t>NYNÄSHAMN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46291</v>
      </c>
      <c r="F60" t="inlineStr">
        <is>
          <t>STOCKHOLMS LÄN</t>
        </is>
      </c>
      <c r="G60" t="inlineStr">
        <is>
          <t>NYNÄSHAMN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46291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46291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46291</v>
      </c>
      <c r="F63" t="inlineStr">
        <is>
          <t>STOCKHOLMS LÄN</t>
        </is>
      </c>
      <c r="G63" t="inlineStr">
        <is>
          <t>NYNÄSHAMN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45457</v>
      </c>
      <c r="E64" s="1" t="n">
        <v>46291</v>
      </c>
      <c r="F64" t="inlineStr">
        <is>
          <t>STOCKHOLMS LÄN</t>
        </is>
      </c>
      <c r="G64" t="inlineStr">
        <is>
          <t>NYNÄSHAMN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46291</v>
      </c>
      <c r="F65" t="inlineStr">
        <is>
          <t>STOCKHOLMS LÄN</t>
        </is>
      </c>
      <c r="G65" t="inlineStr">
        <is>
          <t>NYNÄSHAMN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46291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60977-2022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44908</v>
      </c>
      <c r="E67" s="1" t="n">
        <v>46291</v>
      </c>
      <c r="F67" t="inlineStr">
        <is>
          <t>STOCKHOLMS LÄN</t>
        </is>
      </c>
      <c r="G67" t="inlineStr">
        <is>
          <t>NYNÄSHAMN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46291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46291</v>
      </c>
      <c r="F69" t="inlineStr">
        <is>
          <t>STOCKHOLMS LÄN</t>
        </is>
      </c>
      <c r="G69" t="inlineStr">
        <is>
          <t>NYNÄSHAMN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46291</v>
      </c>
      <c r="F70" t="inlineStr">
        <is>
          <t>STOCKHOLMS LÄN</t>
        </is>
      </c>
      <c r="G70" t="inlineStr">
        <is>
          <t>NYNÄSHAMN</t>
        </is>
      </c>
      <c r="H70" t="inlineStr">
        <is>
          <t>Övriga statliga verk och myndigheter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45140</v>
      </c>
      <c r="E71" s="1" t="n">
        <v>46291</v>
      </c>
      <c r="F71" t="inlineStr">
        <is>
          <t>STOCKHOLMS LÄN</t>
        </is>
      </c>
      <c r="G71" t="inlineStr">
        <is>
          <t>NYNÄSHAMN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46291</v>
      </c>
      <c r="F72" t="inlineStr">
        <is>
          <t>STOCKHOLMS LÄN</t>
        </is>
      </c>
      <c r="G72" t="inlineStr">
        <is>
          <t>NYNÄSHAMN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45737</v>
      </c>
      <c r="E73" s="1" t="n">
        <v>46291</v>
      </c>
      <c r="F73" t="inlineStr">
        <is>
          <t>STOCKHOLMS LÄN</t>
        </is>
      </c>
      <c r="G73" t="inlineStr">
        <is>
          <t>NYNÄSHAMN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46291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46291</v>
      </c>
      <c r="F75" t="inlineStr">
        <is>
          <t>STOCKHOLMS LÄN</t>
        </is>
      </c>
      <c r="G75" t="inlineStr">
        <is>
          <t>NYNÄSHAMN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46291</v>
      </c>
      <c r="F76" t="inlineStr">
        <is>
          <t>STOCKHOLMS LÄN</t>
        </is>
      </c>
      <c r="G76" t="inlineStr">
        <is>
          <t>NYNÄSHAMN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46291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46291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45869</v>
      </c>
      <c r="E79" s="1" t="n">
        <v>46291</v>
      </c>
      <c r="F79" t="inlineStr">
        <is>
          <t>STOCKHOLMS LÄN</t>
        </is>
      </c>
      <c r="G79" t="inlineStr">
        <is>
          <t>NYNÄSHAMN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46291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46291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46291</v>
      </c>
      <c r="F82" t="inlineStr">
        <is>
          <t>STOCKHOLMS LÄN</t>
        </is>
      </c>
      <c r="G82" t="inlineStr">
        <is>
          <t>NYNÄSHAMN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46085</v>
      </c>
      <c r="E83" s="1" t="n">
        <v>46291</v>
      </c>
      <c r="F83" t="inlineStr">
        <is>
          <t>STOCKHOLMS LÄN</t>
        </is>
      </c>
      <c r="G83" t="inlineStr">
        <is>
          <t>NYNÄSHAMN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45062</v>
      </c>
      <c r="E84" s="1" t="n">
        <v>46291</v>
      </c>
      <c r="F84" t="inlineStr">
        <is>
          <t>STOCKHOLMS LÄN</t>
        </is>
      </c>
      <c r="G84" t="inlineStr">
        <is>
          <t>NYNÄSHAMN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30476-2026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46291</v>
      </c>
      <c r="F85" t="inlineStr">
        <is>
          <t>STOCKHOLMS LÄN</t>
        </is>
      </c>
      <c r="G85" t="inlineStr">
        <is>
          <t>NYNÄSHAMN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46291</v>
      </c>
      <c r="F86" t="inlineStr">
        <is>
          <t>STOCKHOLMS LÄN</t>
        </is>
      </c>
      <c r="G86" t="inlineStr">
        <is>
          <t>NYNÄSHAMN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45209</v>
      </c>
      <c r="E87" s="1" t="n">
        <v>46291</v>
      </c>
      <c r="F87" t="inlineStr">
        <is>
          <t>STOCKHOLMS LÄN</t>
        </is>
      </c>
      <c r="G87" t="inlineStr">
        <is>
          <t>NYNÄSHAMN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46291</v>
      </c>
      <c r="F88" t="inlineStr">
        <is>
          <t>STOCKHOLMS LÄN</t>
        </is>
      </c>
      <c r="G88" t="inlineStr">
        <is>
          <t>NYNÄSHAMN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46291</v>
      </c>
      <c r="F89" t="inlineStr">
        <is>
          <t>STOCKHOLMS LÄN</t>
        </is>
      </c>
      <c r="G89" t="inlineStr">
        <is>
          <t>NYNÄSHAMN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46291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46291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46291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46291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45344</v>
      </c>
      <c r="E94" s="1" t="n">
        <v>46291</v>
      </c>
      <c r="F94" t="inlineStr">
        <is>
          <t>STOCKHOLMS LÄN</t>
        </is>
      </c>
      <c r="G94" t="inlineStr">
        <is>
          <t>NYNÄSHAMN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46291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46291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46291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46291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46291</v>
      </c>
      <c r="F99" t="inlineStr">
        <is>
          <t>STOCKHOLMS LÄN</t>
        </is>
      </c>
      <c r="G99" t="inlineStr">
        <is>
          <t>NYNÄSHAMN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46244</v>
      </c>
      <c r="E100" s="1" t="n">
        <v>46291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46291</v>
      </c>
      <c r="F101" t="inlineStr">
        <is>
          <t>STOCKHOLMS LÄN</t>
        </is>
      </c>
      <c r="G101" t="inlineStr">
        <is>
          <t>NYNÄSHAMN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46291</v>
      </c>
      <c r="F102" t="inlineStr">
        <is>
          <t>STOCKHOLMS LÄN</t>
        </is>
      </c>
      <c r="G102" t="inlineStr">
        <is>
          <t>NYNÄSHAMN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46291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46291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46291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46291</v>
      </c>
      <c r="F106" t="inlineStr">
        <is>
          <t>STOCKHOLMS LÄN</t>
        </is>
      </c>
      <c r="G106" t="inlineStr">
        <is>
          <t>NYNÄSHAMN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46291</v>
      </c>
      <c r="F107" t="inlineStr">
        <is>
          <t>STOCKHOLMS LÄN</t>
        </is>
      </c>
      <c r="G107" t="inlineStr">
        <is>
          <t>NYNÄSHAMN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45520</v>
      </c>
      <c r="E108" s="1" t="n">
        <v>46291</v>
      </c>
      <c r="F108" t="inlineStr">
        <is>
          <t>STOCKHOLMS LÄN</t>
        </is>
      </c>
      <c r="G108" t="inlineStr">
        <is>
          <t>NYNÄSHAMN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46291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46291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46291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46291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46291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46291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46291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46291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46291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46291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46291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46291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46291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46291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2026-09-26T02:01:23Z</dcterms:created>
  <dcterms:modified xmlns:dcterms="http://purl.org/dc/terms/" xmlns:xsi="http://www.w3.org/2001/XMLSchema-instance" xsi:type="dcterms:W3CDTF">2026-09-26T02:01:23Z</dcterms:modified>
</cp:coreProperties>
</file>