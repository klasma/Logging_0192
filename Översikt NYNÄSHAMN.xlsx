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46253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46253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46253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46253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46253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46253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46253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46253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46253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46253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46253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46253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46253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46253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46253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46253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46253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46253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46253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46253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46253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46253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46253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46253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46253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46253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46253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46253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46253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23906-2026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46253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7.9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HYPERLINK("https://klasma.github.io/Logging_0192/artfynd/A 23906-2026 artfynd.xlsx", "A 23906-2026")</f>
        <v/>
      </c>
      <c r="X31">
        <f>HYPERLINK("https://klasma.github.io/Logging_0192/kartor/A 23906-2026 karta.png", "A 23906-2026")</f>
        <v/>
      </c>
      <c r="Y31">
        <f>HYPERLINK("https://klasma.github.io/Logging_0192/kartor_geotiff/A 23906-2026 georefererad karta.tif", "A 23906-2026")</f>
        <v/>
      </c>
      <c r="AA31">
        <f>HYPERLINK("https://klasma.github.io/Logging_0192/klagomål/A 23906-2026 FSC-klagomål.docx", "A 23906-2026")</f>
        <v/>
      </c>
      <c r="AB31">
        <f>HYPERLINK("https://klasma.github.io/Logging_0192/klagomålsmail/A 23906-2026 FSC-klagomål mail.docx", "A 23906-2026")</f>
        <v/>
      </c>
      <c r="AC31">
        <f>HYPERLINK("https://klasma.github.io/Logging_0192/tillsyn/A 23906-2026 tillsynsbegäran.docx", "A 23906-2026")</f>
        <v/>
      </c>
      <c r="AD31">
        <f>HYPERLINK("https://klasma.github.io/Logging_0192/tillsynsmail/A 23906-2026 tillsynsbegäran mail.docx", "A 23906-2026")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46253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46253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46253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46253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46253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46253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46253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46253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46253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46253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46253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46253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46253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46253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46253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46253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46253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46253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46253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6775-2022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44602</v>
      </c>
      <c r="E51" s="1" t="n">
        <v>46253</v>
      </c>
      <c r="F51" t="inlineStr">
        <is>
          <t>STOCKHOLMS LÄN</t>
        </is>
      </c>
      <c r="G51" t="inlineStr">
        <is>
          <t>NYNÄSHAMN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46253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46253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44574</v>
      </c>
      <c r="E54" s="1" t="n">
        <v>46253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46052</v>
      </c>
      <c r="E55" s="1" t="n">
        <v>46253</v>
      </c>
      <c r="F55" t="inlineStr">
        <is>
          <t>STOCKHOLMS LÄN</t>
        </is>
      </c>
      <c r="G55" t="inlineStr">
        <is>
          <t>NYNÄSHAMN</t>
        </is>
      </c>
      <c r="H55" t="inlineStr">
        <is>
          <t>Kyrkan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46253</v>
      </c>
      <c r="F56" t="inlineStr">
        <is>
          <t>STOCKHOLMS LÄN</t>
        </is>
      </c>
      <c r="G56" t="inlineStr">
        <is>
          <t>NYNÄSHAMN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45086</v>
      </c>
      <c r="E57" s="1" t="n">
        <v>46253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46253</v>
      </c>
      <c r="F58" t="inlineStr">
        <is>
          <t>STOCKHOLMS LÄN</t>
        </is>
      </c>
      <c r="G58" t="inlineStr">
        <is>
          <t>NYNÄSHAMN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46253</v>
      </c>
      <c r="F59" t="inlineStr">
        <is>
          <t>STOCKHOLMS LÄN</t>
        </is>
      </c>
      <c r="G59" t="inlineStr">
        <is>
          <t>NYNÄSHAMN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46253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45457</v>
      </c>
      <c r="E61" s="1" t="n">
        <v>46253</v>
      </c>
      <c r="F61" t="inlineStr">
        <is>
          <t>STOCKHOLMS LÄN</t>
        </is>
      </c>
      <c r="G61" t="inlineStr">
        <is>
          <t>NYNÄSHAMN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46253</v>
      </c>
      <c r="F62" t="inlineStr">
        <is>
          <t>STOCKHOLMS LÄN</t>
        </is>
      </c>
      <c r="G62" t="inlineStr">
        <is>
          <t>NYNÄSHAMN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46253</v>
      </c>
      <c r="F63" t="inlineStr">
        <is>
          <t>STOCKHOLMS LÄN</t>
        </is>
      </c>
      <c r="G63" t="inlineStr">
        <is>
          <t>NYNÄSHAMN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46253</v>
      </c>
      <c r="F64" t="inlineStr">
        <is>
          <t>STOCKHOLMS LÄN</t>
        </is>
      </c>
      <c r="G64" t="inlineStr">
        <is>
          <t>NYNÄSHAMN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46253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45196</v>
      </c>
      <c r="E66" s="1" t="n">
        <v>46253</v>
      </c>
      <c r="F66" t="inlineStr">
        <is>
          <t>STOCKHOLMS LÄN</t>
        </is>
      </c>
      <c r="G66" t="inlineStr">
        <is>
          <t>NYNÄSHAMN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46253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46253</v>
      </c>
      <c r="F68" t="inlineStr">
        <is>
          <t>STOCKHOLMS LÄN</t>
        </is>
      </c>
      <c r="G68" t="inlineStr">
        <is>
          <t>NYNÄSHAMN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46253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45869</v>
      </c>
      <c r="E70" s="1" t="n">
        <v>46253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46253</v>
      </c>
      <c r="F71" t="inlineStr">
        <is>
          <t>STOCKHOLMS LÄN</t>
        </is>
      </c>
      <c r="G71" t="inlineStr">
        <is>
          <t>NYNÄSHAMN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46253</v>
      </c>
      <c r="F72" t="inlineStr">
        <is>
          <t>STOCKHOLMS LÄN</t>
        </is>
      </c>
      <c r="G72" t="inlineStr">
        <is>
          <t>NYNÄSHAMN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60977-2022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44908</v>
      </c>
      <c r="E73" s="1" t="n">
        <v>46253</v>
      </c>
      <c r="F73" t="inlineStr">
        <is>
          <t>STOCKHOLMS LÄN</t>
        </is>
      </c>
      <c r="G73" t="inlineStr">
        <is>
          <t>NYNÄSHAMN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46253</v>
      </c>
      <c r="F74" t="inlineStr">
        <is>
          <t>STOCKHOLMS LÄN</t>
        </is>
      </c>
      <c r="G74" t="inlineStr">
        <is>
          <t>NYNÄSHAMN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46253</v>
      </c>
      <c r="F75" t="inlineStr">
        <is>
          <t>STOCKHOLMS LÄN</t>
        </is>
      </c>
      <c r="G75" t="inlineStr">
        <is>
          <t>NYNÄSHAMN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45140</v>
      </c>
      <c r="E76" s="1" t="n">
        <v>46253</v>
      </c>
      <c r="F76" t="inlineStr">
        <is>
          <t>STOCKHOLMS LÄN</t>
        </is>
      </c>
      <c r="G76" t="inlineStr">
        <is>
          <t>NYNÄSHAMN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46253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46253</v>
      </c>
      <c r="F78" t="inlineStr">
        <is>
          <t>STOCKHOLMS LÄN</t>
        </is>
      </c>
      <c r="G78" t="inlineStr">
        <is>
          <t>NYNÄSHAMN</t>
        </is>
      </c>
      <c r="H78" t="inlineStr">
        <is>
          <t>Kommuner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46253</v>
      </c>
      <c r="F79" t="inlineStr">
        <is>
          <t>STOCKHOLMS LÄN</t>
        </is>
      </c>
      <c r="G79" t="inlineStr">
        <is>
          <t>NYNÄSHAMN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46253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46253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46253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46253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24595-2026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46253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45149</v>
      </c>
      <c r="E85" s="1" t="n">
        <v>46253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45209</v>
      </c>
      <c r="E86" s="1" t="n">
        <v>46253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46253</v>
      </c>
      <c r="F87" t="inlineStr">
        <is>
          <t>STOCKHOLMS LÄN</t>
        </is>
      </c>
      <c r="G87" t="inlineStr">
        <is>
          <t>NYNÄSHAMN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46253</v>
      </c>
      <c r="F88" t="inlineStr">
        <is>
          <t>STOCKHOLMS LÄN</t>
        </is>
      </c>
      <c r="G88" t="inlineStr">
        <is>
          <t>NYNÄSHAMN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46253</v>
      </c>
      <c r="F89" t="inlineStr">
        <is>
          <t>STOCKHOLMS LÄN</t>
        </is>
      </c>
      <c r="G89" t="inlineStr">
        <is>
          <t>NYNÄSHAMN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46253</v>
      </c>
      <c r="F90" t="inlineStr">
        <is>
          <t>STOCKHOLMS LÄN</t>
        </is>
      </c>
      <c r="G90" t="inlineStr">
        <is>
          <t>NYNÄSHAMN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45239</v>
      </c>
      <c r="E91" s="1" t="n">
        <v>46253</v>
      </c>
      <c r="F91" t="inlineStr">
        <is>
          <t>STOCKHOLMS LÄN</t>
        </is>
      </c>
      <c r="G91" t="inlineStr">
        <is>
          <t>NYNÄSHAMN</t>
        </is>
      </c>
      <c r="H91" t="inlineStr">
        <is>
          <t>Kommuner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46253</v>
      </c>
      <c r="F92" t="inlineStr">
        <is>
          <t>STOCKHOLMS LÄN</t>
        </is>
      </c>
      <c r="G92" t="inlineStr">
        <is>
          <t>NYNÄSHAMN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46237</v>
      </c>
      <c r="E93" s="1" t="n">
        <v>46253</v>
      </c>
      <c r="F93" t="inlineStr">
        <is>
          <t>STOCKHOLMS LÄN</t>
        </is>
      </c>
      <c r="G93" t="inlineStr">
        <is>
          <t>NYNÄSHAMN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46253</v>
      </c>
      <c r="F94" t="inlineStr">
        <is>
          <t>STOCKHOLMS LÄN</t>
        </is>
      </c>
      <c r="G94" t="inlineStr">
        <is>
          <t>NYNÄSHAMN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46237</v>
      </c>
      <c r="E95" s="1" t="n">
        <v>46253</v>
      </c>
      <c r="F95" t="inlineStr">
        <is>
          <t>STOCKHOLMS LÄN</t>
        </is>
      </c>
      <c r="G95" t="inlineStr">
        <is>
          <t>NYNÄSHAMN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45344</v>
      </c>
      <c r="E96" s="1" t="n">
        <v>46253</v>
      </c>
      <c r="F96" t="inlineStr">
        <is>
          <t>STOCKHOLMS LÄN</t>
        </is>
      </c>
      <c r="G96" t="inlineStr">
        <is>
          <t>NYNÄSHAMN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46253</v>
      </c>
      <c r="F97" t="inlineStr">
        <is>
          <t>STOCKHOLMS LÄN</t>
        </is>
      </c>
      <c r="G97" t="inlineStr">
        <is>
          <t>NYNÄSHAMN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46253</v>
      </c>
      <c r="F98" t="inlineStr">
        <is>
          <t>STOCKHOLMS LÄN</t>
        </is>
      </c>
      <c r="G98" t="inlineStr">
        <is>
          <t>NYNÄSHAMN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46244</v>
      </c>
      <c r="E99" s="1" t="n">
        <v>46253</v>
      </c>
      <c r="F99" t="inlineStr">
        <is>
          <t>STOCKHOLMS LÄN</t>
        </is>
      </c>
      <c r="G99" t="inlineStr">
        <is>
          <t>NYNÄSHAMN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46253</v>
      </c>
      <c r="F100" t="inlineStr">
        <is>
          <t>STOCKHOLMS LÄN</t>
        </is>
      </c>
      <c r="G100" t="inlineStr">
        <is>
          <t>NYNÄSHAMN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46253</v>
      </c>
      <c r="F101" t="inlineStr">
        <is>
          <t>STOCKHOLMS LÄN</t>
        </is>
      </c>
      <c r="G101" t="inlineStr">
        <is>
          <t>NYNÄSHAMN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46253</v>
      </c>
      <c r="F102" t="inlineStr">
        <is>
          <t>STOCKHOLMS LÄN</t>
        </is>
      </c>
      <c r="G102" t="inlineStr">
        <is>
          <t>NYNÄSHAMN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12032-2026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46085</v>
      </c>
      <c r="E103" s="1" t="n">
        <v>46253</v>
      </c>
      <c r="F103" t="inlineStr">
        <is>
          <t>STOCKHOLMS LÄN</t>
        </is>
      </c>
      <c r="G103" t="inlineStr">
        <is>
          <t>NYNÄSHAMN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17634-2022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44680</v>
      </c>
      <c r="E104" s="1" t="n">
        <v>46253</v>
      </c>
      <c r="F104" t="inlineStr">
        <is>
          <t>STOCKHOLMS LÄN</t>
        </is>
      </c>
      <c r="G104" t="inlineStr">
        <is>
          <t>NYNÄSHAMN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30476-2026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46210</v>
      </c>
      <c r="E105" s="1" t="n">
        <v>46253</v>
      </c>
      <c r="F105" t="inlineStr">
        <is>
          <t>STOCKHOLMS LÄN</t>
        </is>
      </c>
      <c r="G105" t="inlineStr">
        <is>
          <t>NYNÄSHAMN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45189</v>
      </c>
      <c r="E106" s="1" t="n">
        <v>46253</v>
      </c>
      <c r="F106" t="inlineStr">
        <is>
          <t>STOCKHOLMS LÄN</t>
        </is>
      </c>
      <c r="G106" t="inlineStr">
        <is>
          <t>NYNÄSHAMN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46253</v>
      </c>
      <c r="F107" t="inlineStr">
        <is>
          <t>STOCKHOLMS LÄN</t>
        </is>
      </c>
      <c r="G107" t="inlineStr">
        <is>
          <t>NYNÄSHAMN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46253</v>
      </c>
      <c r="F108" t="inlineStr">
        <is>
          <t>STOCKHOLMS LÄN</t>
        </is>
      </c>
      <c r="G108" t="inlineStr">
        <is>
          <t>NYNÄSHAMN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46253</v>
      </c>
      <c r="F109" t="inlineStr">
        <is>
          <t>STOCKHOLMS LÄN</t>
        </is>
      </c>
      <c r="G109" t="inlineStr">
        <is>
          <t>NYNÄSHAMN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46253</v>
      </c>
      <c r="F110" t="inlineStr">
        <is>
          <t>STOCKHOLMS LÄN</t>
        </is>
      </c>
      <c r="G110" t="inlineStr">
        <is>
          <t>NYNÄSHAMN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46253</v>
      </c>
      <c r="F111" t="inlineStr">
        <is>
          <t>STOCKHOLMS LÄN</t>
        </is>
      </c>
      <c r="G111" t="inlineStr">
        <is>
          <t>NYNÄSHAMN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33667-2022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46253</v>
      </c>
      <c r="F112" t="inlineStr">
        <is>
          <t>STOCKHOLMS LÄN</t>
        </is>
      </c>
      <c r="G112" t="inlineStr">
        <is>
          <t>NYNÄSHAMN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46253</v>
      </c>
      <c r="F113" t="inlineStr">
        <is>
          <t>STOCKHOLMS LÄN</t>
        </is>
      </c>
      <c r="G113" t="inlineStr">
        <is>
          <t>NYNÄSHAMN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46253</v>
      </c>
      <c r="F114" t="inlineStr">
        <is>
          <t>STOCKHOLMS LÄN</t>
        </is>
      </c>
      <c r="G114" t="inlineStr">
        <is>
          <t>NYNÄSHAMN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46253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46253</v>
      </c>
      <c r="F116" t="inlineStr">
        <is>
          <t>STOCKHOLMS LÄN</t>
        </is>
      </c>
      <c r="G116" t="inlineStr">
        <is>
          <t>NYNÄSHAMN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41767-2024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45561</v>
      </c>
      <c r="E117" s="1" t="n">
        <v>46253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46253</v>
      </c>
      <c r="F118" t="inlineStr">
        <is>
          <t>STOCKHOLMS LÄN</t>
        </is>
      </c>
      <c r="G118" t="inlineStr">
        <is>
          <t>NYNÄSHAMN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46253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46253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22730-2025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46253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2697-2024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45482</v>
      </c>
      <c r="E122" s="1" t="n">
        <v>46253</v>
      </c>
      <c r="F122" t="inlineStr">
        <is>
          <t>STOCKHOLMS LÄN</t>
        </is>
      </c>
      <c r="G122" t="inlineStr">
        <is>
          <t>NYNÄSHAMN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4477-2022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44787</v>
      </c>
      <c r="E123" s="1" t="n">
        <v>46253</v>
      </c>
      <c r="F123" t="inlineStr">
        <is>
          <t>STOCKHOLMS LÄN</t>
        </is>
      </c>
      <c r="G123" t="inlineStr">
        <is>
          <t>NYNÄSHAMN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>
      <c r="A124" t="inlineStr">
        <is>
          <t>S 1845-2026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46198</v>
      </c>
      <c r="E124" s="1" t="n">
        <v>46253</v>
      </c>
      <c r="F124" t="inlineStr">
        <is>
          <t>STOCKHOLMS LÄN</t>
        </is>
      </c>
      <c r="G124" t="inlineStr">
        <is>
          <t>NYNÄSHAMN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2026-08-19T01:50:17Z</dcterms:created>
  <dcterms:modified xmlns:dcterms="http://purl.org/dc/terms/" xmlns:xsi="http://www.w3.org/2001/XMLSchema-instance" xsi:type="dcterms:W3CDTF">2026-08-19T01:50:18Z</dcterms:modified>
</cp:coreProperties>
</file>