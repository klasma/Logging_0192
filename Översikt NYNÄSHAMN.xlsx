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45889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45889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45889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45889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45889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2294-2021</t>
        </is>
      </c>
      <c r="B12" s="1" t="n">
        <v>44212</v>
      </c>
      <c r="C12" s="1" t="n">
        <v>45889</v>
      </c>
      <c r="D12" t="inlineStr">
        <is>
          <t>STOCKHOLMS LÄN</t>
        </is>
      </c>
      <c r="E12" t="inlineStr">
        <is>
          <t>NYNÄSHAMN</t>
        </is>
      </c>
      <c r="G12" t="n">
        <v>22.1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Solvända
Ängsskära</t>
        </is>
      </c>
      <c r="S12">
        <f>HYPERLINK("https://klasma.github.io/Logging_0192/artfynd/A 2294-2021 artfynd.xlsx", "A 2294-2021")</f>
        <v/>
      </c>
      <c r="T12">
        <f>HYPERLINK("https://klasma.github.io/Logging_0192/kartor/A 2294-2021 karta.png", "A 2294-2021")</f>
        <v/>
      </c>
      <c r="V12">
        <f>HYPERLINK("https://klasma.github.io/Logging_0192/klagomål/A 2294-2021 FSC-klagomål.docx", "A 2294-2021")</f>
        <v/>
      </c>
      <c r="W12">
        <f>HYPERLINK("https://klasma.github.io/Logging_0192/klagomålsmail/A 2294-2021 FSC-klagomål mail.docx", "A 2294-2021")</f>
        <v/>
      </c>
      <c r="X12">
        <f>HYPERLINK("https://klasma.github.io/Logging_0192/tillsyn/A 2294-2021 tillsynsbegäran.docx", "A 2294-2021")</f>
        <v/>
      </c>
      <c r="Y12">
        <f>HYPERLINK("https://klasma.github.io/Logging_0192/tillsynsmail/A 2294-2021 tillsynsbegäran mail.docx", "A 2294-2021")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45889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45889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45889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45889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45889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45889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45889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45889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45889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45889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45889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9268-2023</t>
        </is>
      </c>
      <c r="B24" s="1" t="n">
        <v>44980</v>
      </c>
      <c r="C24" s="1" t="n">
        <v>45889</v>
      </c>
      <c r="D24" t="inlineStr">
        <is>
          <t>STOCKHOLMS LÄN</t>
        </is>
      </c>
      <c r="E24" t="inlineStr">
        <is>
          <t>NYNÄSHAMN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HYPERLINK("https://klasma.github.io/Logging_0192/artfynd/A 9268-2023 artfynd.xlsx", "A 9268-2023")</f>
        <v/>
      </c>
      <c r="T24">
        <f>HYPERLINK("https://klasma.github.io/Logging_0192/kartor/A 9268-2023 karta.png", "A 9268-2023")</f>
        <v/>
      </c>
      <c r="V24">
        <f>HYPERLINK("https://klasma.github.io/Logging_0192/klagomål/A 9268-2023 FSC-klagomål.docx", "A 9268-2023")</f>
        <v/>
      </c>
      <c r="W24">
        <f>HYPERLINK("https://klasma.github.io/Logging_0192/klagomålsmail/A 9268-2023 FSC-klagomål mail.docx", "A 9268-2023")</f>
        <v/>
      </c>
      <c r="X24">
        <f>HYPERLINK("https://klasma.github.io/Logging_0192/tillsyn/A 9268-2023 tillsynsbegäran.docx", "A 9268-2023")</f>
        <v/>
      </c>
      <c r="Y24">
        <f>HYPERLINK("https://klasma.github.io/Logging_0192/tillsynsmail/A 9268-2023 tillsynsbegäran mail.docx", "A 9268-2023")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45889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45889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45889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45889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45889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45889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45889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45889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56608-2020</t>
        </is>
      </c>
      <c r="B33" s="1" t="n">
        <v>44133</v>
      </c>
      <c r="C33" s="1" t="n">
        <v>45889</v>
      </c>
      <c r="D33" t="inlineStr">
        <is>
          <t>STOCKHOLMS LÄN</t>
        </is>
      </c>
      <c r="E33" t="inlineStr">
        <is>
          <t>NYNÄSHAMN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45889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45889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45889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45889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45889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45889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45889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45889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45889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45732-2020</t>
        </is>
      </c>
      <c r="B43" s="1" t="n">
        <v>44090</v>
      </c>
      <c r="C43" s="1" t="n">
        <v>45889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45889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45889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45889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45859-2020</t>
        </is>
      </c>
      <c r="B47" s="1" t="n">
        <v>44091</v>
      </c>
      <c r="C47" s="1" t="n">
        <v>45889</v>
      </c>
      <c r="D47" t="inlineStr">
        <is>
          <t>STOCKHOLMS LÄN</t>
        </is>
      </c>
      <c r="E47" t="inlineStr">
        <is>
          <t>NYNÄSHAMN</t>
        </is>
      </c>
      <c r="G47" t="n">
        <v>17.7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45889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45889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45889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45889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7683-2021</t>
        </is>
      </c>
      <c r="B52" s="1" t="n">
        <v>44242</v>
      </c>
      <c r="C52" s="1" t="n">
        <v>45889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45889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45889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45889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45889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45889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45889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45889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45889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10525-2021</t>
        </is>
      </c>
      <c r="B61" s="1" t="n">
        <v>44258</v>
      </c>
      <c r="C61" s="1" t="n">
        <v>45889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49657-2021</t>
        </is>
      </c>
      <c r="B62" s="1" t="n">
        <v>44455.45670138889</v>
      </c>
      <c r="C62" s="1" t="n">
        <v>45889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7457-2025</t>
        </is>
      </c>
      <c r="B63" s="1" t="n">
        <v>45705.43699074074</v>
      </c>
      <c r="C63" s="1" t="n">
        <v>45889</v>
      </c>
      <c r="D63" t="inlineStr">
        <is>
          <t>STOCKHOLMS LÄN</t>
        </is>
      </c>
      <c r="E63" t="inlineStr">
        <is>
          <t>NYNÄSHAMN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30910-2023</t>
        </is>
      </c>
      <c r="B64" s="1" t="n">
        <v>45113</v>
      </c>
      <c r="C64" s="1" t="n">
        <v>45889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32074-2023</t>
        </is>
      </c>
      <c r="B65" s="1" t="n">
        <v>45119</v>
      </c>
      <c r="C65" s="1" t="n">
        <v>45889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33787-2024</t>
        </is>
      </c>
      <c r="B66" s="1" t="n">
        <v>45520</v>
      </c>
      <c r="C66" s="1" t="n">
        <v>45889</v>
      </c>
      <c r="D66" t="inlineStr">
        <is>
          <t>STOCKHOLMS LÄN</t>
        </is>
      </c>
      <c r="E66" t="inlineStr">
        <is>
          <t>NYNÄSHAMN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45889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41281-2021</t>
        </is>
      </c>
      <c r="B68" s="1" t="n">
        <v>44424</v>
      </c>
      <c r="C68" s="1" t="n">
        <v>45889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37103-2021</t>
        </is>
      </c>
      <c r="B69" s="1" t="n">
        <v>44396</v>
      </c>
      <c r="C69" s="1" t="n">
        <v>45889</v>
      </c>
      <c r="D69" t="inlineStr">
        <is>
          <t>STOCKHOLMS LÄN</t>
        </is>
      </c>
      <c r="E69" t="inlineStr">
        <is>
          <t>NYNÄSHAMN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37104-2021</t>
        </is>
      </c>
      <c r="B70" s="1" t="n">
        <v>44396</v>
      </c>
      <c r="C70" s="1" t="n">
        <v>45889</v>
      </c>
      <c r="D70" t="inlineStr">
        <is>
          <t>STOCKHOLMS LÄN</t>
        </is>
      </c>
      <c r="E70" t="inlineStr">
        <is>
          <t>NYNÄSHAMN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35356-2023</t>
        </is>
      </c>
      <c r="B71" s="1" t="n">
        <v>45146.51179398148</v>
      </c>
      <c r="C71" s="1" t="n">
        <v>45889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17991-2024</t>
        </is>
      </c>
      <c r="B72" s="1" t="n">
        <v>45419</v>
      </c>
      <c r="C72" s="1" t="n">
        <v>45889</v>
      </c>
      <c r="D72" t="inlineStr">
        <is>
          <t>STOCKHOLMS LÄN</t>
        </is>
      </c>
      <c r="E72" t="inlineStr">
        <is>
          <t>NYNÄSHAMN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45889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33667-2022</t>
        </is>
      </c>
      <c r="B74" s="1" t="n">
        <v>44789</v>
      </c>
      <c r="C74" s="1" t="n">
        <v>45889</v>
      </c>
      <c r="D74" t="inlineStr">
        <is>
          <t>STOCKHOLMS LÄN</t>
        </is>
      </c>
      <c r="E74" t="inlineStr">
        <is>
          <t>NYNÄSHAMN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37097-2021</t>
        </is>
      </c>
      <c r="B75" s="1" t="n">
        <v>44395</v>
      </c>
      <c r="C75" s="1" t="n">
        <v>45889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15460-2025</t>
        </is>
      </c>
      <c r="B76" s="1" t="n">
        <v>45747.51049768519</v>
      </c>
      <c r="C76" s="1" t="n">
        <v>45889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16793-2023</t>
        </is>
      </c>
      <c r="B77" s="1" t="n">
        <v>45028</v>
      </c>
      <c r="C77" s="1" t="n">
        <v>45889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34660-2023</t>
        </is>
      </c>
      <c r="B78" s="1" t="n">
        <v>45140</v>
      </c>
      <c r="C78" s="1" t="n">
        <v>45889</v>
      </c>
      <c r="D78" t="inlineStr">
        <is>
          <t>STOCKHOLMS LÄN</t>
        </is>
      </c>
      <c r="E78" t="inlineStr">
        <is>
          <t>NYNÄSHAMN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45889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10224-2023</t>
        </is>
      </c>
      <c r="B80" s="1" t="n">
        <v>44986.61554398148</v>
      </c>
      <c r="C80" s="1" t="n">
        <v>45889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636-2025</t>
        </is>
      </c>
      <c r="B81" s="1" t="n">
        <v>45664.63822916667</v>
      </c>
      <c r="C81" s="1" t="n">
        <v>45889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31808-2023</t>
        </is>
      </c>
      <c r="B82" s="1" t="n">
        <v>45118.47105324074</v>
      </c>
      <c r="C82" s="1" t="n">
        <v>45889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45889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45889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9062-2023</t>
        </is>
      </c>
      <c r="B85" s="1" t="n">
        <v>44979.72369212963</v>
      </c>
      <c r="C85" s="1" t="n">
        <v>45889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47128-2023</t>
        </is>
      </c>
      <c r="B86" s="1" t="n">
        <v>45196</v>
      </c>
      <c r="C86" s="1" t="n">
        <v>45889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60977-2022</t>
        </is>
      </c>
      <c r="B87" s="1" t="n">
        <v>44908</v>
      </c>
      <c r="C87" s="1" t="n">
        <v>45889</v>
      </c>
      <c r="D87" t="inlineStr">
        <is>
          <t>STOCKHOLMS LÄN</t>
        </is>
      </c>
      <c r="E87" t="inlineStr">
        <is>
          <t>NYNÄSHAMN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2170-2023</t>
        </is>
      </c>
      <c r="B88" s="1" t="n">
        <v>44941</v>
      </c>
      <c r="C88" s="1" t="n">
        <v>45889</v>
      </c>
      <c r="D88" t="inlineStr">
        <is>
          <t>STOCKHOLMS LÄN</t>
        </is>
      </c>
      <c r="E88" t="inlineStr">
        <is>
          <t>NYNÄSHAMN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45889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41767-2024</t>
        </is>
      </c>
      <c r="B90" s="1" t="n">
        <v>45561.34616898148</v>
      </c>
      <c r="C90" s="1" t="n">
        <v>45889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45889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15465-2025</t>
        </is>
      </c>
      <c r="B92" s="1" t="n">
        <v>45747.51586805555</v>
      </c>
      <c r="C92" s="1" t="n">
        <v>45889</v>
      </c>
      <c r="D92" t="inlineStr">
        <is>
          <t>STOCKHOLMS LÄN</t>
        </is>
      </c>
      <c r="E92" t="inlineStr">
        <is>
          <t>NYNÄSHAMN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9020-2023</t>
        </is>
      </c>
      <c r="B93" s="1" t="n">
        <v>44979</v>
      </c>
      <c r="C93" s="1" t="n">
        <v>45889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3341-2025</t>
        </is>
      </c>
      <c r="B94" s="1" t="n">
        <v>45679</v>
      </c>
      <c r="C94" s="1" t="n">
        <v>45889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1658-2022</t>
        </is>
      </c>
      <c r="B95" s="1" t="n">
        <v>44574</v>
      </c>
      <c r="C95" s="1" t="n">
        <v>45889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45889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21202-2025</t>
        </is>
      </c>
      <c r="B97" s="1" t="n">
        <v>45779.47872685185</v>
      </c>
      <c r="C97" s="1" t="n">
        <v>45889</v>
      </c>
      <c r="D97" t="inlineStr">
        <is>
          <t>STOCKHOLMS LÄN</t>
        </is>
      </c>
      <c r="E97" t="inlineStr">
        <is>
          <t>NYNÄSHAMN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27091-2024</t>
        </is>
      </c>
      <c r="B98" s="1" t="n">
        <v>45471</v>
      </c>
      <c r="C98" s="1" t="n">
        <v>45889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13947-2025</t>
        </is>
      </c>
      <c r="B99" s="1" t="n">
        <v>45737</v>
      </c>
      <c r="C99" s="1" t="n">
        <v>45889</v>
      </c>
      <c r="D99" t="inlineStr">
        <is>
          <t>STOCKHOLMS LÄN</t>
        </is>
      </c>
      <c r="E99" t="inlineStr">
        <is>
          <t>NYNÄSHAMN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26505-2024</t>
        </is>
      </c>
      <c r="B100" s="1" t="n">
        <v>45469</v>
      </c>
      <c r="C100" s="1" t="n">
        <v>45889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17990-2024</t>
        </is>
      </c>
      <c r="B101" s="1" t="n">
        <v>45419</v>
      </c>
      <c r="C101" s="1" t="n">
        <v>45889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32092-2023</t>
        </is>
      </c>
      <c r="B102" s="1" t="n">
        <v>45119</v>
      </c>
      <c r="C102" s="1" t="n">
        <v>45889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22721-2025</t>
        </is>
      </c>
      <c r="B103" s="1" t="n">
        <v>45789.57309027778</v>
      </c>
      <c r="C103" s="1" t="n">
        <v>45889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22740-2025</t>
        </is>
      </c>
      <c r="B104" s="1" t="n">
        <v>45789.59407407408</v>
      </c>
      <c r="C104" s="1" t="n">
        <v>45889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22730-2025</t>
        </is>
      </c>
      <c r="B105" s="1" t="n">
        <v>45789.57819444445</v>
      </c>
      <c r="C105" s="1" t="n">
        <v>45889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23397-2025</t>
        </is>
      </c>
      <c r="B106" s="1" t="n">
        <v>45791.90849537037</v>
      </c>
      <c r="C106" s="1" t="n">
        <v>45889</v>
      </c>
      <c r="D106" t="inlineStr">
        <is>
          <t>STOCKHOLMS LÄN</t>
        </is>
      </c>
      <c r="E106" t="inlineStr">
        <is>
          <t>NYNÄSHAMN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40895-2024</t>
        </is>
      </c>
      <c r="B107" s="1" t="n">
        <v>45558.61607638889</v>
      </c>
      <c r="C107" s="1" t="n">
        <v>45889</v>
      </c>
      <c r="D107" t="inlineStr">
        <is>
          <t>STOCKHOLMS LÄN</t>
        </is>
      </c>
      <c r="E107" t="inlineStr">
        <is>
          <t>NYNÄSHAMN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32011-2023</t>
        </is>
      </c>
      <c r="B108" s="1" t="n">
        <v>45119</v>
      </c>
      <c r="C108" s="1" t="n">
        <v>45889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21192-2023</t>
        </is>
      </c>
      <c r="B109" s="1" t="n">
        <v>45062</v>
      </c>
      <c r="C109" s="1" t="n">
        <v>45889</v>
      </c>
      <c r="D109" t="inlineStr">
        <is>
          <t>STOCKHOLMS LÄN</t>
        </is>
      </c>
      <c r="E109" t="inlineStr">
        <is>
          <t>NYNÄSHAMN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36052-2023</t>
        </is>
      </c>
      <c r="B110" s="1" t="n">
        <v>45149</v>
      </c>
      <c r="C110" s="1" t="n">
        <v>45889</v>
      </c>
      <c r="D110" t="inlineStr">
        <is>
          <t>STOCKHOLMS LÄN</t>
        </is>
      </c>
      <c r="E110" t="inlineStr">
        <is>
          <t>NYNÄSHAMN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37098-2021</t>
        </is>
      </c>
      <c r="B111" s="1" t="n">
        <v>44396</v>
      </c>
      <c r="C111" s="1" t="n">
        <v>45889</v>
      </c>
      <c r="D111" t="inlineStr">
        <is>
          <t>STOCKHOLMS LÄN</t>
        </is>
      </c>
      <c r="E111" t="inlineStr">
        <is>
          <t>NYNÄSHAMN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48978-2023</t>
        </is>
      </c>
      <c r="B112" s="1" t="n">
        <v>45209</v>
      </c>
      <c r="C112" s="1" t="n">
        <v>45889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15176-2024</t>
        </is>
      </c>
      <c r="B113" s="1" t="n">
        <v>45400</v>
      </c>
      <c r="C113" s="1" t="n">
        <v>45889</v>
      </c>
      <c r="D113" t="inlineStr">
        <is>
          <t>STOCKHOLMS LÄN</t>
        </is>
      </c>
      <c r="E113" t="inlineStr">
        <is>
          <t>NYNÄSHAMN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41680-2023</t>
        </is>
      </c>
      <c r="B114" s="1" t="n">
        <v>45173</v>
      </c>
      <c r="C114" s="1" t="n">
        <v>45889</v>
      </c>
      <c r="D114" t="inlineStr">
        <is>
          <t>STOCKHOLMS LÄN</t>
        </is>
      </c>
      <c r="E114" t="inlineStr">
        <is>
          <t>NYNÄSHAMN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26190-2022</t>
        </is>
      </c>
      <c r="B115" s="1" t="n">
        <v>44735</v>
      </c>
      <c r="C115" s="1" t="n">
        <v>45889</v>
      </c>
      <c r="D115" t="inlineStr">
        <is>
          <t>STOCKHOLMS LÄN</t>
        </is>
      </c>
      <c r="E115" t="inlineStr">
        <is>
          <t>NYNÄSHAMN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45889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47258-2024</t>
        </is>
      </c>
      <c r="B117" s="1" t="n">
        <v>45586.76025462963</v>
      </c>
      <c r="C117" s="1" t="n">
        <v>45889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45889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34385-2023</t>
        </is>
      </c>
      <c r="B119" s="1" t="n">
        <v>45139</v>
      </c>
      <c r="C119" s="1" t="n">
        <v>45889</v>
      </c>
      <c r="D119" t="inlineStr">
        <is>
          <t>STOCKHOLMS LÄN</t>
        </is>
      </c>
      <c r="E119" t="inlineStr">
        <is>
          <t>NYNÄSHAMN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64494-2023</t>
        </is>
      </c>
      <c r="B120" s="1" t="n">
        <v>45280.93269675926</v>
      </c>
      <c r="C120" s="1" t="n">
        <v>45889</v>
      </c>
      <c r="D120" t="inlineStr">
        <is>
          <t>STOCKHOLMS LÄN</t>
        </is>
      </c>
      <c r="E120" t="inlineStr">
        <is>
          <t>NYNÄSHAMN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52859-2024</t>
        </is>
      </c>
      <c r="B121" s="1" t="n">
        <v>45610.61542824074</v>
      </c>
      <c r="C121" s="1" t="n">
        <v>45889</v>
      </c>
      <c r="D121" t="inlineStr">
        <is>
          <t>STOCKHOLMS LÄN</t>
        </is>
      </c>
      <c r="E121" t="inlineStr">
        <is>
          <t>NYNÄSHAMN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62013-2023</t>
        </is>
      </c>
      <c r="B122" s="1" t="n">
        <v>45266</v>
      </c>
      <c r="C122" s="1" t="n">
        <v>45889</v>
      </c>
      <c r="D122" t="inlineStr">
        <is>
          <t>STOCKHOLMS LÄN</t>
        </is>
      </c>
      <c r="E122" t="inlineStr">
        <is>
          <t>NYNÄSHAMN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45889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45889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45889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35557-2025</t>
        </is>
      </c>
      <c r="B126" s="1" t="n">
        <v>45856.52200231481</v>
      </c>
      <c r="C126" s="1" t="n">
        <v>45889</v>
      </c>
      <c r="D126" t="inlineStr">
        <is>
          <t>STOCKHOLMS LÄN</t>
        </is>
      </c>
      <c r="E126" t="inlineStr">
        <is>
          <t>NYNÄSHAMN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35483-2025</t>
        </is>
      </c>
      <c r="B127" s="1" t="n">
        <v>45855</v>
      </c>
      <c r="C127" s="1" t="n">
        <v>45889</v>
      </c>
      <c r="D127" t="inlineStr">
        <is>
          <t>STOCKHOLMS LÄN</t>
        </is>
      </c>
      <c r="E127" t="inlineStr">
        <is>
          <t>NYNÄSHAMN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24288-2024</t>
        </is>
      </c>
      <c r="B128" s="1" t="n">
        <v>45457.4562037037</v>
      </c>
      <c r="C128" s="1" t="n">
        <v>45889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27748-2023</t>
        </is>
      </c>
      <c r="B129" s="1" t="n">
        <v>45098</v>
      </c>
      <c r="C129" s="1" t="n">
        <v>45889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8939-2023</t>
        </is>
      </c>
      <c r="B130" s="1" t="n">
        <v>44979</v>
      </c>
      <c r="C130" s="1" t="n">
        <v>45889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52911-2024</t>
        </is>
      </c>
      <c r="B131" s="1" t="n">
        <v>45610.70392361111</v>
      </c>
      <c r="C131" s="1" t="n">
        <v>45889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45889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45889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57375-2024</t>
        </is>
      </c>
      <c r="B134" s="1" t="n">
        <v>45629.67396990741</v>
      </c>
      <c r="C134" s="1" t="n">
        <v>45889</v>
      </c>
      <c r="D134" t="inlineStr">
        <is>
          <t>STOCKHOLMS LÄN</t>
        </is>
      </c>
      <c r="E134" t="inlineStr">
        <is>
          <t>NYNÄSHAMN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41677-2023</t>
        </is>
      </c>
      <c r="B135" s="1" t="n">
        <v>45173</v>
      </c>
      <c r="C135" s="1" t="n">
        <v>45889</v>
      </c>
      <c r="D135" t="inlineStr">
        <is>
          <t>STOCKHOLMS LÄN</t>
        </is>
      </c>
      <c r="E135" t="inlineStr">
        <is>
          <t>NYNÄSHAMN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62878-2023</t>
        </is>
      </c>
      <c r="B136" s="1" t="n">
        <v>45272</v>
      </c>
      <c r="C136" s="1" t="n">
        <v>45889</v>
      </c>
      <c r="D136" t="inlineStr">
        <is>
          <t>STOCKHOLMS LÄN</t>
        </is>
      </c>
      <c r="E136" t="inlineStr">
        <is>
          <t>NYNÄSHAMN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36082-2025</t>
        </is>
      </c>
      <c r="B137" s="1" t="n">
        <v>45866.45336805555</v>
      </c>
      <c r="C137" s="1" t="n">
        <v>45889</v>
      </c>
      <c r="D137" t="inlineStr">
        <is>
          <t>STOCKHOLMS LÄN</t>
        </is>
      </c>
      <c r="E137" t="inlineStr">
        <is>
          <t>NYNÄSHAMN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45889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45889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29811-2025</t>
        </is>
      </c>
      <c r="B140" s="1" t="n">
        <v>45825</v>
      </c>
      <c r="C140" s="1" t="n">
        <v>45889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36509-2025</t>
        </is>
      </c>
      <c r="B141" s="1" t="n">
        <v>45869.57434027778</v>
      </c>
      <c r="C141" s="1" t="n">
        <v>45889</v>
      </c>
      <c r="D141" t="inlineStr">
        <is>
          <t>STOCKHOLMS LÄN</t>
        </is>
      </c>
      <c r="E141" t="inlineStr">
        <is>
          <t>NYNÄSHAMN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36468-2025</t>
        </is>
      </c>
      <c r="B142" s="1" t="n">
        <v>45869.47163194444</v>
      </c>
      <c r="C142" s="1" t="n">
        <v>45889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45889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15839-2025</t>
        </is>
      </c>
      <c r="B144" s="1" t="n">
        <v>45748.868125</v>
      </c>
      <c r="C144" s="1" t="n">
        <v>45889</v>
      </c>
      <c r="D144" t="inlineStr">
        <is>
          <t>STOCKHOLMS LÄN</t>
        </is>
      </c>
      <c r="E144" t="inlineStr">
        <is>
          <t>NYNÄSHAMN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34818-2021</t>
        </is>
      </c>
      <c r="B145" s="1" t="n">
        <v>44383.35518518519</v>
      </c>
      <c r="C145" s="1" t="n">
        <v>45889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18411-2025</t>
        </is>
      </c>
      <c r="B146" s="1" t="n">
        <v>45762.61413194444</v>
      </c>
      <c r="C146" s="1" t="n">
        <v>45889</v>
      </c>
      <c r="D146" t="inlineStr">
        <is>
          <t>STOCKHOLMS LÄN</t>
        </is>
      </c>
      <c r="E146" t="inlineStr">
        <is>
          <t>NYNÄSHAMN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45889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45889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64411-2023</t>
        </is>
      </c>
      <c r="B149" s="1" t="n">
        <v>45280.63304398148</v>
      </c>
      <c r="C149" s="1" t="n">
        <v>45889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44205-2024</t>
        </is>
      </c>
      <c r="B150" s="1" t="n">
        <v>45573</v>
      </c>
      <c r="C150" s="1" t="n">
        <v>45889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44206-2024</t>
        </is>
      </c>
      <c r="B151" s="1" t="n">
        <v>45573</v>
      </c>
      <c r="C151" s="1" t="n">
        <v>45889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45889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13945-2025</t>
        </is>
      </c>
      <c r="B153" s="1" t="n">
        <v>45737.71512731481</v>
      </c>
      <c r="C153" s="1" t="n">
        <v>45889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52910-2024</t>
        </is>
      </c>
      <c r="B154" s="1" t="n">
        <v>45610.69866898148</v>
      </c>
      <c r="C154" s="1" t="n">
        <v>45889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44624-2023</t>
        </is>
      </c>
      <c r="B155" s="1" t="n">
        <v>45184</v>
      </c>
      <c r="C155" s="1" t="n">
        <v>45889</v>
      </c>
      <c r="D155" t="inlineStr">
        <is>
          <t>STOCKHOLMS LÄN</t>
        </is>
      </c>
      <c r="E155" t="inlineStr">
        <is>
          <t>NYNÄSHAMN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9017-2023</t>
        </is>
      </c>
      <c r="B156" s="1" t="n">
        <v>44979</v>
      </c>
      <c r="C156" s="1" t="n">
        <v>45889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2025-08-20T08:28:39Z</dcterms:created>
  <dcterms:modified xmlns:dcterms="http://purl.org/dc/terms/" xmlns:xsi="http://www.w3.org/2001/XMLSchema-instance" xsi:type="dcterms:W3CDTF">2025-08-20T08:28:39Z</dcterms:modified>
</cp:coreProperties>
</file>