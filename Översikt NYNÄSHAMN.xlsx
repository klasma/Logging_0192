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46289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46289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46289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46289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46289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46289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46289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46289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46289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46289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46289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22716-2025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45789</v>
      </c>
      <c r="E14" s="1" t="n">
        <v>46289</v>
      </c>
      <c r="F14" t="inlineStr">
        <is>
          <t>STOCKHOLMS LÄN</t>
        </is>
      </c>
      <c r="G14" t="inlineStr">
        <is>
          <t>NYNÄSHAMN</t>
        </is>
      </c>
      <c r="H14" t="inlineStr">
        <is>
          <t>Kommuner</t>
        </is>
      </c>
      <c r="I14" t="n">
        <v>2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Björksplintborre
Stekelbock
Revlummer</t>
        </is>
      </c>
      <c r="W14">
        <f>HYPERLINK("https://klasma.github.io/Logging_0192/artfynd/A 22716-2025 artfynd.xlsx", "A 22716-2025")</f>
        <v/>
      </c>
      <c r="X14">
        <f>HYPERLINK("https://klasma.github.io/Logging_0192/kartor/A 22716-2025 karta.png", "A 22716-2025")</f>
        <v/>
      </c>
      <c r="Y14">
        <f>HYPERLINK("https://klasma.github.io/Logging_0192/kartor_geotiff/A 22716-2025 georefererad karta.tif", "A 22716-2025")</f>
        <v/>
      </c>
      <c r="AA14">
        <f>HYPERLINK("https://klasma.github.io/Logging_0192/klagomål/A 22716-2025 FSC-klagomål.docx", "A 22716-2025")</f>
        <v/>
      </c>
      <c r="AB14">
        <f>HYPERLINK("https://klasma.github.io/Logging_0192/klagomålsmail/A 22716-2025 FSC-klagomål mail.docx", "A 22716-2025")</f>
        <v/>
      </c>
      <c r="AC14">
        <f>HYPERLINK("https://klasma.github.io/Logging_0192/tillsyn/A 22716-2025 tillsynsbegäran.docx", "A 22716-2025")</f>
        <v/>
      </c>
      <c r="AD14">
        <f>HYPERLINK("https://klasma.github.io/Logging_0192/tillsynsmail/A 22716-2025 tillsynsbegäran mail.docx", "A 22716-2025")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46289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46289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46289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47093-2023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45196</v>
      </c>
      <c r="E18" s="1" t="n">
        <v>46289</v>
      </c>
      <c r="F18" t="inlineStr">
        <is>
          <t>STOCKHOLMS LÄN</t>
        </is>
      </c>
      <c r="G18" t="inlineStr">
        <is>
          <t>NYNÄSHAMN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Hasselticka
Myskmadra</t>
        </is>
      </c>
      <c r="W18">
        <f>HYPERLINK("https://klasma.github.io/Logging_0192/artfynd/A 47093-2023 artfynd.xlsx", "A 47093-2023")</f>
        <v/>
      </c>
      <c r="X18">
        <f>HYPERLINK("https://klasma.github.io/Logging_0192/kartor/A 47093-2023 karta.png", "A 47093-2023")</f>
        <v/>
      </c>
      <c r="Y18">
        <f>HYPERLINK("https://klasma.github.io/Logging_0192/kartor_geotiff/A 47093-2023 georefererad karta.tif", "A 47093-2023")</f>
        <v/>
      </c>
      <c r="AA18">
        <f>HYPERLINK("https://klasma.github.io/Logging_0192/klagomål/A 47093-2023 FSC-klagomål.docx", "A 47093-2023")</f>
        <v/>
      </c>
      <c r="AB18">
        <f>HYPERLINK("https://klasma.github.io/Logging_0192/klagomålsmail/A 47093-2023 FSC-klagomål mail.docx", "A 47093-2023")</f>
        <v/>
      </c>
      <c r="AC18">
        <f>HYPERLINK("https://klasma.github.io/Logging_0192/tillsyn/A 47093-2023 tillsynsbegäran.docx", "A 47093-2023")</f>
        <v/>
      </c>
      <c r="AD18">
        <f>HYPERLINK("https://klasma.github.io/Logging_0192/tillsynsmail/A 47093-2023 tillsynsbegäran mail.docx", "A 47093-2023")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46289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64189-2023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45279</v>
      </c>
      <c r="E20" s="1" t="n">
        <v>46289</v>
      </c>
      <c r="F20" t="inlineStr">
        <is>
          <t>STOCKHOLMS LÄN</t>
        </is>
      </c>
      <c r="G20" t="inlineStr">
        <is>
          <t>NYNÄSHAMN</t>
        </is>
      </c>
      <c r="I20" t="n">
        <v>1.5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Blåsippa
Gullviva</t>
        </is>
      </c>
      <c r="W20">
        <f>HYPERLINK("https://klasma.github.io/Logging_0192/artfynd/A 64189-2023 artfynd.xlsx", "A 64189-2023")</f>
        <v/>
      </c>
      <c r="X20">
        <f>HYPERLINK("https://klasma.github.io/Logging_0192/kartor/A 64189-2023 karta.png", "A 64189-2023")</f>
        <v/>
      </c>
      <c r="Y20">
        <f>HYPERLINK("https://klasma.github.io/Logging_0192/kartor_geotiff/A 64189-2023 georefererad karta.tif", "A 64189-2023")</f>
        <v/>
      </c>
      <c r="AA20">
        <f>HYPERLINK("https://klasma.github.io/Logging_0192/klagomål/A 64189-2023 FSC-klagomål.docx", "A 64189-2023")</f>
        <v/>
      </c>
      <c r="AB20">
        <f>HYPERLINK("https://klasma.github.io/Logging_0192/klagomålsmail/A 64189-2023 FSC-klagomål mail.docx", "A 64189-2023")</f>
        <v/>
      </c>
      <c r="AC20">
        <f>HYPERLINK("https://klasma.github.io/Logging_0192/tillsyn/A 64189-2023 tillsynsbegäran.docx", "A 64189-2023")</f>
        <v/>
      </c>
      <c r="AD20">
        <f>HYPERLINK("https://klasma.github.io/Logging_0192/tillsynsmail/A 64189-2023 tillsynsbegäran mail.docx", "A 64189-2023")</f>
        <v/>
      </c>
    </row>
    <row r="21" ht="15" customHeight="1">
      <c r="A21" t="inlineStr">
        <is>
          <t>A 5567-2023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44960</v>
      </c>
      <c r="E21" s="1" t="n">
        <v>46289</v>
      </c>
      <c r="F21" t="inlineStr">
        <is>
          <t>STOCKHOLMS LÄN</t>
        </is>
      </c>
      <c r="G21" t="inlineStr">
        <is>
          <t>NYNÄSHAMN</t>
        </is>
      </c>
      <c r="I21" t="n">
        <v>10.1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Sårläka
Blåsippa</t>
        </is>
      </c>
      <c r="W21">
        <f>HYPERLINK("https://klasma.github.io/Logging_0192/artfynd/A 5567-2023 artfynd.xlsx", "A 5567-2023")</f>
        <v/>
      </c>
      <c r="X21">
        <f>HYPERLINK("https://klasma.github.io/Logging_0192/kartor/A 5567-2023 karta.png", "A 5567-2023")</f>
        <v/>
      </c>
      <c r="Y21">
        <f>HYPERLINK("https://klasma.github.io/Logging_0192/kartor_geotiff/A 5567-2023 georefererad karta.tif", "A 5567-2023")</f>
        <v/>
      </c>
      <c r="AA21">
        <f>HYPERLINK("https://klasma.github.io/Logging_0192/klagomål/A 5567-2023 FSC-klagomål.docx", "A 5567-2023")</f>
        <v/>
      </c>
      <c r="AB21">
        <f>HYPERLINK("https://klasma.github.io/Logging_0192/klagomålsmail/A 5567-2023 FSC-klagomål mail.docx", "A 5567-2023")</f>
        <v/>
      </c>
      <c r="AC21">
        <f>HYPERLINK("https://klasma.github.io/Logging_0192/tillsyn/A 5567-2023 tillsynsbegäran.docx", "A 5567-2023")</f>
        <v/>
      </c>
      <c r="AD21">
        <f>HYPERLINK("https://klasma.github.io/Logging_0192/tillsynsmail/A 5567-2023 tillsynsbegäran mail.docx", "A 5567-2023")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46289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8939-2023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44979</v>
      </c>
      <c r="E23" s="1" t="n">
        <v>46289</v>
      </c>
      <c r="F23" t="inlineStr">
        <is>
          <t>STOCKHOLMS LÄN</t>
        </is>
      </c>
      <c r="G23" t="inlineStr">
        <is>
          <t>NYNÄSHAMN</t>
        </is>
      </c>
      <c r="I23" t="n">
        <v>2.7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8939-2023 artfynd.xlsx", "A 8939-2023")</f>
        <v/>
      </c>
      <c r="X23">
        <f>HYPERLINK("https://klasma.github.io/Logging_0192/kartor/A 8939-2023 karta.png", "A 8939-2023")</f>
        <v/>
      </c>
      <c r="Y23">
        <f>HYPERLINK("https://klasma.github.io/Logging_0192/kartor_geotiff/A 8939-2023 georefererad karta.tif", "A 8939-2023")</f>
        <v/>
      </c>
      <c r="AA23">
        <f>HYPERLINK("https://klasma.github.io/Logging_0192/klagomål/A 8939-2023 FSC-klagomål.docx", "A 8939-2023")</f>
        <v/>
      </c>
      <c r="AB23">
        <f>HYPERLINK("https://klasma.github.io/Logging_0192/klagomålsmail/A 8939-2023 FSC-klagomål mail.docx", "A 8939-2023")</f>
        <v/>
      </c>
      <c r="AC23">
        <f>HYPERLINK("https://klasma.github.io/Logging_0192/tillsyn/A 8939-2023 tillsynsbegäran.docx", "A 8939-2023")</f>
        <v/>
      </c>
      <c r="AD23">
        <f>HYPERLINK("https://klasma.github.io/Logging_0192/tillsynsmail/A 8939-2023 tillsynsbegäran mail.docx", "A 8939-2023")</f>
        <v/>
      </c>
    </row>
    <row r="24" ht="15" customHeight="1">
      <c r="A24" t="inlineStr">
        <is>
          <t>A 49523-2023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46289</v>
      </c>
      <c r="F24" t="inlineStr">
        <is>
          <t>STOCKHOLMS LÄN</t>
        </is>
      </c>
      <c r="G24" t="inlineStr">
        <is>
          <t>NYNÄSHAMN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Grönpyrola
Västlig hakmossa</t>
        </is>
      </c>
      <c r="W24">
        <f>HYPERLINK("https://klasma.github.io/Logging_0192/artfynd/A 49523-2023 artfynd.xlsx", "A 49523-2023")</f>
        <v/>
      </c>
      <c r="X24">
        <f>HYPERLINK("https://klasma.github.io/Logging_0192/kartor/A 49523-2023 karta.png", "A 49523-2023")</f>
        <v/>
      </c>
      <c r="Y24">
        <f>HYPERLINK("https://klasma.github.io/Logging_0192/kartor_geotiff/A 49523-2023 georefererad karta.tif", "A 49523-2023")</f>
        <v/>
      </c>
      <c r="AA24">
        <f>HYPERLINK("https://klasma.github.io/Logging_0192/klagomål/A 49523-2023 FSC-klagomål.docx", "A 49523-2023")</f>
        <v/>
      </c>
      <c r="AB24">
        <f>HYPERLINK("https://klasma.github.io/Logging_0192/klagomålsmail/A 49523-2023 FSC-klagomål mail.docx", "A 49523-2023")</f>
        <v/>
      </c>
      <c r="AC24">
        <f>HYPERLINK("https://klasma.github.io/Logging_0192/tillsyn/A 49523-2023 tillsynsbegäran.docx", "A 49523-2023")</f>
        <v/>
      </c>
      <c r="AD24">
        <f>HYPERLINK("https://klasma.github.io/Logging_0192/tillsynsmail/A 49523-2023 tillsynsbegäran mail.docx", "A 49523-2023")</f>
        <v/>
      </c>
    </row>
    <row r="25" ht="15" customHeight="1">
      <c r="A25" t="inlineStr">
        <is>
          <t>A 10059-2022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46289</v>
      </c>
      <c r="F25" t="inlineStr">
        <is>
          <t>STOCKHOLMS LÄN</t>
        </is>
      </c>
      <c r="G25" t="inlineStr">
        <is>
          <t>NYNÄSHAMN</t>
        </is>
      </c>
      <c r="I25" t="n">
        <v>17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Bolmört
Bollvitmossa</t>
        </is>
      </c>
      <c r="W25">
        <f>HYPERLINK("https://klasma.github.io/Logging_0192/artfynd/A 10059-2022 artfynd.xlsx", "A 10059-2022")</f>
        <v/>
      </c>
      <c r="X25">
        <f>HYPERLINK("https://klasma.github.io/Logging_0192/kartor/A 10059-2022 karta.png", "A 10059-2022")</f>
        <v/>
      </c>
      <c r="Y25">
        <f>HYPERLINK("https://klasma.github.io/Logging_0192/kartor_geotiff/A 10059-2022 georefererad karta.tif", "A 10059-2022")</f>
        <v/>
      </c>
      <c r="AA25">
        <f>HYPERLINK("https://klasma.github.io/Logging_0192/klagomål/A 10059-2022 FSC-klagomål.docx", "A 10059-2022")</f>
        <v/>
      </c>
      <c r="AB25">
        <f>HYPERLINK("https://klasma.github.io/Logging_0192/klagomålsmail/A 10059-2022 FSC-klagomål mail.docx", "A 10059-2022")</f>
        <v/>
      </c>
      <c r="AC25">
        <f>HYPERLINK("https://klasma.github.io/Logging_0192/tillsyn/A 10059-2022 tillsynsbegäran.docx", "A 10059-2022")</f>
        <v/>
      </c>
      <c r="AD25">
        <f>HYPERLINK("https://klasma.github.io/Logging_0192/tillsynsmail/A 10059-2022 tillsynsbegäran mail.docx", "A 10059-2022")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46289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Fjällvråk
Havsörn</t>
        </is>
      </c>
      <c r="W26">
        <f>HYPERLINK("https://klasma.github.io/Logging_0192/artfynd/A 12033-2026 artfynd.xlsx", "A 12033-2026")</f>
        <v/>
      </c>
      <c r="X26">
        <f>HYPERLINK("https://klasma.github.io/Logging_0192/kartor/A 12033-2026 karta.png", "A 12033-2026")</f>
        <v/>
      </c>
      <c r="Y26">
        <f>HYPERLINK("https://klasma.github.io/Logging_0192/kartor_geotiff/A 12033-2026 georefererad karta.tif", "A 12033-2026")</f>
        <v/>
      </c>
      <c r="AA26">
        <f>HYPERLINK("https://klasma.github.io/Logging_0192/klagomål/A 12033-2026 FSC-klagomål.docx", "A 12033-2026")</f>
        <v/>
      </c>
      <c r="AB26">
        <f>HYPERLINK("https://klasma.github.io/Logging_0192/klagomålsmail/A 12033-2026 FSC-klagomål mail.docx", "A 12033-2026")</f>
        <v/>
      </c>
      <c r="AC26">
        <f>HYPERLINK("https://klasma.github.io/Logging_0192/tillsyn/A 12033-2026 tillsynsbegäran.docx", "A 12033-2026")</f>
        <v/>
      </c>
      <c r="AD26">
        <f>HYPERLINK("https://klasma.github.io/Logging_0192/tillsynsmail/A 12033-2026 tillsynsbegäran mail.docx", "A 12033-2026")</f>
        <v/>
      </c>
      <c r="AE26">
        <f>HYPERLINK("https://klasma.github.io/Logging_0192/fåglar/A 12033-2026 prioriterade fågelarter.docx", "A 12033-2026")</f>
        <v/>
      </c>
    </row>
    <row r="27" ht="15" customHeight="1">
      <c r="A27" t="inlineStr">
        <is>
          <t>A 64196-2023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45279</v>
      </c>
      <c r="E27" s="1" t="n">
        <v>46289</v>
      </c>
      <c r="F27" t="inlineStr">
        <is>
          <t>STOCKHOLMS LÄN</t>
        </is>
      </c>
      <c r="G27" t="inlineStr">
        <is>
          <t>NYNÄSHAMN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HYPERLINK("https://klasma.github.io/Logging_0192/artfynd/A 64196-2023 artfynd.xlsx", "A 64196-2023")</f>
        <v/>
      </c>
      <c r="X27">
        <f>HYPERLINK("https://klasma.github.io/Logging_0192/kartor/A 64196-2023 karta.png", "A 64196-2023")</f>
        <v/>
      </c>
      <c r="Y27">
        <f>HYPERLINK("https://klasma.github.io/Logging_0192/kartor_geotiff/A 64196-2023 georefererad karta.tif", "A 64196-2023")</f>
        <v/>
      </c>
      <c r="AA27">
        <f>HYPERLINK("https://klasma.github.io/Logging_0192/klagomål/A 64196-2023 FSC-klagomål.docx", "A 64196-2023")</f>
        <v/>
      </c>
      <c r="AB27">
        <f>HYPERLINK("https://klasma.github.io/Logging_0192/klagomålsmail/A 64196-2023 FSC-klagomål mail.docx", "A 64196-2023")</f>
        <v/>
      </c>
      <c r="AC27">
        <f>HYPERLINK("https://klasma.github.io/Logging_0192/tillsyn/A 64196-2023 tillsynsbegäran.docx", "A 64196-2023")</f>
        <v/>
      </c>
      <c r="AD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46289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46289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40895-2024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46289</v>
      </c>
      <c r="F30" t="inlineStr">
        <is>
          <t>STOCKHOLMS LÄN</t>
        </is>
      </c>
      <c r="G30" t="inlineStr">
        <is>
          <t>NYNÄSHAMN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Stubbspretmossa</t>
        </is>
      </c>
      <c r="W30">
        <f>HYPERLINK("https://klasma.github.io/Logging_0192/artfynd/A 40895-2024 artfynd.xlsx", "A 40895-2024")</f>
        <v/>
      </c>
      <c r="X30">
        <f>HYPERLINK("https://klasma.github.io/Logging_0192/kartor/A 40895-2024 karta.png", "A 40895-2024")</f>
        <v/>
      </c>
      <c r="Y30">
        <f>HYPERLINK("https://klasma.github.io/Logging_0192/kartor_geotiff/A 40895-2024 georefererad karta.tif", "A 40895-2024")</f>
        <v/>
      </c>
      <c r="AA30">
        <f>HYPERLINK("https://klasma.github.io/Logging_0192/klagomål/A 40895-2024 FSC-klagomål.docx", "A 40895-2024")</f>
        <v/>
      </c>
      <c r="AB30">
        <f>HYPERLINK("https://klasma.github.io/Logging_0192/klagomålsmail/A 40895-2024 FSC-klagomål mail.docx", "A 40895-2024")</f>
        <v/>
      </c>
      <c r="AC30">
        <f>HYPERLINK("https://klasma.github.io/Logging_0192/tillsyn/A 40895-2024 tillsynsbegäran.docx", "A 40895-2024")</f>
        <v/>
      </c>
      <c r="AD30">
        <f>HYPERLINK("https://klasma.github.io/Logging_0192/tillsynsmail/A 40895-2024 tillsynsbegäran mail.docx", "A 40895-2024")</f>
        <v/>
      </c>
    </row>
    <row r="31" ht="15" customHeight="1">
      <c r="A31" t="inlineStr">
        <is>
          <t>A 32011-2023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46289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Fiskgjuse</t>
        </is>
      </c>
      <c r="W31">
        <f>HYPERLINK("https://klasma.github.io/Logging_0192/artfynd/A 32011-2023 artfynd.xlsx", "A 32011-2023")</f>
        <v/>
      </c>
      <c r="X31">
        <f>HYPERLINK("https://klasma.github.io/Logging_0192/kartor/A 32011-2023 karta.png", "A 32011-2023")</f>
        <v/>
      </c>
      <c r="Y31">
        <f>HYPERLINK("https://klasma.github.io/Logging_0192/kartor_geotiff/A 32011-2023 georefererad karta.tif", "A 32011-2023")</f>
        <v/>
      </c>
      <c r="AA31">
        <f>HYPERLINK("https://klasma.github.io/Logging_0192/klagomål/A 32011-2023 FSC-klagomål.docx", "A 32011-2023")</f>
        <v/>
      </c>
      <c r="AB31">
        <f>HYPERLINK("https://klasma.github.io/Logging_0192/klagomålsmail/A 32011-2023 FSC-klagomål mail.docx", "A 32011-2023")</f>
        <v/>
      </c>
      <c r="AC31">
        <f>HYPERLINK("https://klasma.github.io/Logging_0192/tillsyn/A 32011-2023 tillsynsbegäran.docx", "A 32011-2023")</f>
        <v/>
      </c>
      <c r="AD31">
        <f>HYPERLINK("https://klasma.github.io/Logging_0192/tillsynsmail/A 32011-2023 tillsynsbegäran mail.docx", "A 32011-2023")</f>
        <v/>
      </c>
      <c r="AE31">
        <f>HYPERLINK("https://klasma.github.io/Logging_0192/fåglar/A 32011-2023 prioriterade fågelarter.docx", "A 32011-2023")</f>
        <v/>
      </c>
    </row>
    <row r="32" ht="15" customHeight="1">
      <c r="A32" t="inlineStr">
        <is>
          <t>A 62634-2022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44917</v>
      </c>
      <c r="E32" s="1" t="n">
        <v>46289</v>
      </c>
      <c r="F32" t="inlineStr">
        <is>
          <t>STOCKHOLMS LÄN</t>
        </is>
      </c>
      <c r="G32" t="inlineStr">
        <is>
          <t>NYNÄSHAMN</t>
        </is>
      </c>
      <c r="I32" t="n">
        <v>15.8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padda</t>
        </is>
      </c>
      <c r="W32">
        <f>HYPERLINK("https://klasma.github.io/Logging_0192/artfynd/A 62634-2022 artfynd.xlsx", "A 62634-2022")</f>
        <v/>
      </c>
      <c r="X32">
        <f>HYPERLINK("https://klasma.github.io/Logging_0192/kartor/A 62634-2022 karta.png", "A 62634-2022")</f>
        <v/>
      </c>
      <c r="Y32">
        <f>HYPERLINK("https://klasma.github.io/Logging_0192/kartor_geotiff/A 62634-2022 georefererad karta.tif", "A 62634-2022")</f>
        <v/>
      </c>
      <c r="AA32">
        <f>HYPERLINK("https://klasma.github.io/Logging_0192/klagomål/A 62634-2022 FSC-klagomål.docx", "A 62634-2022")</f>
        <v/>
      </c>
      <c r="AB32">
        <f>HYPERLINK("https://klasma.github.io/Logging_0192/klagomålsmail/A 62634-2022 FSC-klagomål mail.docx", "A 62634-2022")</f>
        <v/>
      </c>
      <c r="AC32">
        <f>HYPERLINK("https://klasma.github.io/Logging_0192/tillsyn/A 62634-2022 tillsynsbegäran.docx", "A 62634-2022")</f>
        <v/>
      </c>
      <c r="AD32">
        <f>HYPERLINK("https://klasma.github.io/Logging_0192/tillsynsmail/A 62634-2022 tillsynsbegäran mail.docx", "A 62634-2022")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46289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46289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46289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46289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46289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46289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46289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46289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46289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46289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46289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45196</v>
      </c>
      <c r="E44" s="1" t="n">
        <v>46289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45789</v>
      </c>
      <c r="E45" s="1" t="n">
        <v>46289</v>
      </c>
      <c r="F45" t="inlineStr">
        <is>
          <t>STOCKHOLMS LÄN</t>
        </is>
      </c>
      <c r="G45" t="inlineStr">
        <is>
          <t>NYNÄSHAMN</t>
        </is>
      </c>
      <c r="H45" t="inlineStr">
        <is>
          <t>Kommuner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46289</v>
      </c>
      <c r="F46" t="inlineStr">
        <is>
          <t>STOCKHOLMS LÄN</t>
        </is>
      </c>
      <c r="G46" t="inlineStr">
        <is>
          <t>NYNÄSHAMN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46289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46289</v>
      </c>
      <c r="F48" t="inlineStr">
        <is>
          <t>STOCKHOLMS LÄN</t>
        </is>
      </c>
      <c r="G48" t="inlineStr">
        <is>
          <t>NYNÄSHAMN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46289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46289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46289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34660-2023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45140</v>
      </c>
      <c r="E52" s="1" t="n">
        <v>46289</v>
      </c>
      <c r="F52" t="inlineStr">
        <is>
          <t>STOCKHOLMS LÄN</t>
        </is>
      </c>
      <c r="G52" t="inlineStr">
        <is>
          <t>NYNÄSHAMN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46289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46289</v>
      </c>
      <c r="F54" t="inlineStr">
        <is>
          <t>STOCKHOLMS LÄN</t>
        </is>
      </c>
      <c r="G54" t="inlineStr">
        <is>
          <t>NYNÄSHAMN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46289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45196</v>
      </c>
      <c r="E56" s="1" t="n">
        <v>46289</v>
      </c>
      <c r="F56" t="inlineStr">
        <is>
          <t>STOCKHOLMS LÄN</t>
        </is>
      </c>
      <c r="G56" t="inlineStr">
        <is>
          <t>NYNÄSHAMN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46289</v>
      </c>
      <c r="F57" t="inlineStr">
        <is>
          <t>STOCKHOLMS LÄN</t>
        </is>
      </c>
      <c r="G57" t="inlineStr">
        <is>
          <t>NYNÄSHAMN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46289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46289</v>
      </c>
      <c r="F59" t="inlineStr">
        <is>
          <t>STOCKHOLMS LÄN</t>
        </is>
      </c>
      <c r="G59" t="inlineStr">
        <is>
          <t>NYNÄSHAMN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46857-2025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45928</v>
      </c>
      <c r="E60" s="1" t="n">
        <v>46289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46289</v>
      </c>
      <c r="F61" t="inlineStr">
        <is>
          <t>STOCKHOLMS LÄN</t>
        </is>
      </c>
      <c r="G61" t="inlineStr">
        <is>
          <t>NYNÄSHAMN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46289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46289</v>
      </c>
      <c r="F63" t="inlineStr">
        <is>
          <t>STOCKHOLMS LÄN</t>
        </is>
      </c>
      <c r="G63" t="inlineStr">
        <is>
          <t>NYNÄSHAMN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51954-2025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45952</v>
      </c>
      <c r="E64" s="1" t="n">
        <v>46289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46289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21192-2023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45062</v>
      </c>
      <c r="E66" s="1" t="n">
        <v>46289</v>
      </c>
      <c r="F66" t="inlineStr">
        <is>
          <t>STOCKHOLMS LÄN</t>
        </is>
      </c>
      <c r="G66" t="inlineStr">
        <is>
          <t>NYNÄSHAMN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45149</v>
      </c>
      <c r="E67" s="1" t="n">
        <v>46289</v>
      </c>
      <c r="F67" t="inlineStr">
        <is>
          <t>STOCKHOLMS LÄN</t>
        </is>
      </c>
      <c r="G67" t="inlineStr">
        <is>
          <t>NYNÄSHAMN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46289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46289</v>
      </c>
      <c r="F69" t="inlineStr">
        <is>
          <t>STOCKHOLMS LÄN</t>
        </is>
      </c>
      <c r="G69" t="inlineStr">
        <is>
          <t>NYNÄSHAMN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48978-2023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45209</v>
      </c>
      <c r="E70" s="1" t="n">
        <v>46289</v>
      </c>
      <c r="F70" t="inlineStr">
        <is>
          <t>STOCKHOLMS LÄN</t>
        </is>
      </c>
      <c r="G70" t="inlineStr">
        <is>
          <t>NYNÄSHAMN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41680-2023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45173</v>
      </c>
      <c r="E71" s="1" t="n">
        <v>46289</v>
      </c>
      <c r="F71" t="inlineStr">
        <is>
          <t>STOCKHOLMS LÄN</t>
        </is>
      </c>
      <c r="G71" t="inlineStr">
        <is>
          <t>NYNÄSHAMN</t>
        </is>
      </c>
      <c r="I71" t="n">
        <v>12.3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45086</v>
      </c>
      <c r="E72" s="1" t="n">
        <v>46289</v>
      </c>
      <c r="F72" t="inlineStr">
        <is>
          <t>STOCKHOLMS LÄN</t>
        </is>
      </c>
      <c r="G72" t="inlineStr">
        <is>
          <t>NYNÄSHAMN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45139</v>
      </c>
      <c r="E73" s="1" t="n">
        <v>46289</v>
      </c>
      <c r="F73" t="inlineStr">
        <is>
          <t>STOCKHOLMS LÄN</t>
        </is>
      </c>
      <c r="G73" t="inlineStr">
        <is>
          <t>NYNÄSHAMN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52859-2024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46289</v>
      </c>
      <c r="F74" t="inlineStr">
        <is>
          <t>STOCKHOLMS LÄN</t>
        </is>
      </c>
      <c r="G74" t="inlineStr">
        <is>
          <t>NYNÄSHAMN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63931-2021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44509</v>
      </c>
      <c r="E75" s="1" t="n">
        <v>46289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46289</v>
      </c>
      <c r="F76" t="inlineStr">
        <is>
          <t>STOCKHOLMS LÄN</t>
        </is>
      </c>
      <c r="G76" t="inlineStr">
        <is>
          <t>NYNÄSHAMN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45274</v>
      </c>
      <c r="E77" s="1" t="n">
        <v>46289</v>
      </c>
      <c r="F77" t="inlineStr">
        <is>
          <t>STOCKHOLMS LÄN</t>
        </is>
      </c>
      <c r="G77" t="inlineStr">
        <is>
          <t>NYNÄSHAMN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45457</v>
      </c>
      <c r="E78" s="1" t="n">
        <v>46289</v>
      </c>
      <c r="F78" t="inlineStr">
        <is>
          <t>STOCKHOLMS LÄN</t>
        </is>
      </c>
      <c r="G78" t="inlineStr">
        <is>
          <t>NYNÄSHAMN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46289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46289</v>
      </c>
      <c r="F80" t="inlineStr">
        <is>
          <t>STOCKHOLMS LÄN</t>
        </is>
      </c>
      <c r="G80" t="inlineStr">
        <is>
          <t>NYNÄSHAMN</t>
        </is>
      </c>
      <c r="H80" t="inlineStr">
        <is>
          <t>Övriga statliga verk och myndigheter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45280</v>
      </c>
      <c r="E81" s="1" t="n">
        <v>46289</v>
      </c>
      <c r="F81" t="inlineStr">
        <is>
          <t>STOCKHOLMS LÄN</t>
        </is>
      </c>
      <c r="G81" t="inlineStr">
        <is>
          <t>NYNÄSHAMN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45239</v>
      </c>
      <c r="E82" s="1" t="n">
        <v>46289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46289</v>
      </c>
      <c r="F83" t="inlineStr">
        <is>
          <t>STOCKHOLMS LÄN</t>
        </is>
      </c>
      <c r="G83" t="inlineStr">
        <is>
          <t>NYNÄSHAMN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7180-2024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45344</v>
      </c>
      <c r="E84" s="1" t="n">
        <v>46289</v>
      </c>
      <c r="F84" t="inlineStr">
        <is>
          <t>STOCKHOLMS LÄN</t>
        </is>
      </c>
      <c r="G84" t="inlineStr">
        <is>
          <t>NYNÄSHAMN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46289</v>
      </c>
      <c r="F85" t="inlineStr">
        <is>
          <t>STOCKHOLMS LÄN</t>
        </is>
      </c>
      <c r="G85" t="inlineStr">
        <is>
          <t>NYNÄSHAMN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46289</v>
      </c>
      <c r="F86" t="inlineStr">
        <is>
          <t>STOCKHOLMS LÄN</t>
        </is>
      </c>
      <c r="G86" t="inlineStr">
        <is>
          <t>NYNÄSHAMN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46052</v>
      </c>
      <c r="E87" s="1" t="n">
        <v>46289</v>
      </c>
      <c r="F87" t="inlineStr">
        <is>
          <t>STOCKHOLMS LÄN</t>
        </is>
      </c>
      <c r="G87" t="inlineStr">
        <is>
          <t>NYNÄSHAMN</t>
        </is>
      </c>
      <c r="H87" t="inlineStr">
        <is>
          <t>Kyrkan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33060-2026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46245</v>
      </c>
      <c r="E88" s="1" t="n">
        <v>46289</v>
      </c>
      <c r="F88" t="inlineStr">
        <is>
          <t>STOCKHOLMS LÄN</t>
        </is>
      </c>
      <c r="G88" t="inlineStr">
        <is>
          <t>NYNÄSHAMN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32840-2026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46244</v>
      </c>
      <c r="E89" s="1" t="n">
        <v>46289</v>
      </c>
      <c r="F89" t="inlineStr">
        <is>
          <t>STOCKHOLMS LÄN</t>
        </is>
      </c>
      <c r="G89" t="inlineStr">
        <is>
          <t>NYNÄSHAMN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33067-2026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46245</v>
      </c>
      <c r="E90" s="1" t="n">
        <v>46289</v>
      </c>
      <c r="F90" t="inlineStr">
        <is>
          <t>STOCKHOLMS LÄN</t>
        </is>
      </c>
      <c r="G90" t="inlineStr">
        <is>
          <t>NYNÄSHAMN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33063-2026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46245</v>
      </c>
      <c r="E91" s="1" t="n">
        <v>46289</v>
      </c>
      <c r="F91" t="inlineStr">
        <is>
          <t>STOCKHOLMS LÄN</t>
        </is>
      </c>
      <c r="G91" t="inlineStr">
        <is>
          <t>NYNÄSHAMN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45610</v>
      </c>
      <c r="E92" s="1" t="n">
        <v>46289</v>
      </c>
      <c r="F92" t="inlineStr">
        <is>
          <t>STOCKHOLMS LÄN</t>
        </is>
      </c>
      <c r="G92" t="inlineStr">
        <is>
          <t>NYNÄSHAMN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46289</v>
      </c>
      <c r="F93" t="inlineStr">
        <is>
          <t>STOCKHOLMS LÄN</t>
        </is>
      </c>
      <c r="G93" t="inlineStr">
        <is>
          <t>NYNÄSHAMN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46289</v>
      </c>
      <c r="F94" t="inlineStr">
        <is>
          <t>STOCKHOLMS LÄN</t>
        </is>
      </c>
      <c r="G94" t="inlineStr">
        <is>
          <t>NYNÄSHAMN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45189</v>
      </c>
      <c r="E95" s="1" t="n">
        <v>46289</v>
      </c>
      <c r="F95" t="inlineStr">
        <is>
          <t>STOCKHOLMS LÄN</t>
        </is>
      </c>
      <c r="G95" t="inlineStr">
        <is>
          <t>NYNÄSHAMN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45280</v>
      </c>
      <c r="E96" s="1" t="n">
        <v>46289</v>
      </c>
      <c r="F96" t="inlineStr">
        <is>
          <t>STOCKHOLMS LÄN</t>
        </is>
      </c>
      <c r="G96" t="inlineStr">
        <is>
          <t>NYNÄSHAMN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46289</v>
      </c>
      <c r="F97" t="inlineStr">
        <is>
          <t>STOCKHOLMS LÄN</t>
        </is>
      </c>
      <c r="G97" t="inlineStr">
        <is>
          <t>NYNÄSHAMN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45184</v>
      </c>
      <c r="E98" s="1" t="n">
        <v>46289</v>
      </c>
      <c r="F98" t="inlineStr">
        <is>
          <t>STOCKHOLMS LÄN</t>
        </is>
      </c>
      <c r="G98" t="inlineStr">
        <is>
          <t>NYNÄSHAMN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45869</v>
      </c>
      <c r="E99" s="1" t="n">
        <v>46289</v>
      </c>
      <c r="F99" t="inlineStr">
        <is>
          <t>STOCKHOLMS LÄN</t>
        </is>
      </c>
      <c r="G99" t="inlineStr">
        <is>
          <t>NYNÄSHAMN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45869</v>
      </c>
      <c r="E100" s="1" t="n">
        <v>46289</v>
      </c>
      <c r="F100" t="inlineStr">
        <is>
          <t>STOCKHOLMS LÄN</t>
        </is>
      </c>
      <c r="G100" t="inlineStr">
        <is>
          <t>NYNÄSHAMN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18411-2025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45762</v>
      </c>
      <c r="E101" s="1" t="n">
        <v>46289</v>
      </c>
      <c r="F101" t="inlineStr">
        <is>
          <t>STOCKHOLMS LÄN</t>
        </is>
      </c>
      <c r="G101" t="inlineStr">
        <is>
          <t>NYNÄSHAMN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45520</v>
      </c>
      <c r="E102" s="1" t="n">
        <v>46289</v>
      </c>
      <c r="F102" t="inlineStr">
        <is>
          <t>STOCKHOLMS LÄN</t>
        </is>
      </c>
      <c r="G102" t="inlineStr">
        <is>
          <t>NYNÄSHAMN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60977-2022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44908</v>
      </c>
      <c r="E103" s="1" t="n">
        <v>46289</v>
      </c>
      <c r="F103" t="inlineStr">
        <is>
          <t>STOCKHOLMS LÄN</t>
        </is>
      </c>
      <c r="G103" t="inlineStr">
        <is>
          <t>NYNÄSHAMN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52950-2024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45610</v>
      </c>
      <c r="E104" s="1" t="n">
        <v>46289</v>
      </c>
      <c r="F104" t="inlineStr">
        <is>
          <t>STOCKHOLMS LÄN</t>
        </is>
      </c>
      <c r="G104" t="inlineStr">
        <is>
          <t>NYNÄSHAMN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45146</v>
      </c>
      <c r="E105" s="1" t="n">
        <v>46289</v>
      </c>
      <c r="F105" t="inlineStr">
        <is>
          <t>STOCKHOLMS LÄN</t>
        </is>
      </c>
      <c r="G105" t="inlineStr">
        <is>
          <t>NYNÄSHAMN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33667-2022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44789</v>
      </c>
      <c r="E106" s="1" t="n">
        <v>46289</v>
      </c>
      <c r="F106" t="inlineStr">
        <is>
          <t>STOCKHOLMS LÄN</t>
        </is>
      </c>
      <c r="G106" t="inlineStr">
        <is>
          <t>NYNÄSHAMN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46289</v>
      </c>
      <c r="F107" t="inlineStr">
        <is>
          <t>STOCKHOLMS LÄN</t>
        </is>
      </c>
      <c r="G107" t="inlineStr">
        <is>
          <t>NYNÄSHAMN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46289</v>
      </c>
      <c r="F108" t="inlineStr">
        <is>
          <t>STOCKHOLMS LÄN</t>
        </is>
      </c>
      <c r="G108" t="inlineStr">
        <is>
          <t>NYNÄSHAMN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46289</v>
      </c>
      <c r="F109" t="inlineStr">
        <is>
          <t>STOCKHOLMS LÄN</t>
        </is>
      </c>
      <c r="G109" t="inlineStr">
        <is>
          <t>NYNÄSHAMN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44941</v>
      </c>
      <c r="E110" s="1" t="n">
        <v>46289</v>
      </c>
      <c r="F110" t="inlineStr">
        <is>
          <t>STOCKHOLMS LÄN</t>
        </is>
      </c>
      <c r="G110" t="inlineStr">
        <is>
          <t>NYNÄSHAMN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41767-2024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45561</v>
      </c>
      <c r="E111" s="1" t="n">
        <v>46289</v>
      </c>
      <c r="F111" t="inlineStr">
        <is>
          <t>STOCKHOLMS LÄN</t>
        </is>
      </c>
      <c r="G111" t="inlineStr">
        <is>
          <t>NYNÄSHAMN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46289</v>
      </c>
      <c r="F112" t="inlineStr">
        <is>
          <t>STOCKHOLMS LÄN</t>
        </is>
      </c>
      <c r="G112" t="inlineStr">
        <is>
          <t>NYNÄSHAMN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46289</v>
      </c>
      <c r="F113" t="inlineStr">
        <is>
          <t>STOCKHOLMS LÄN</t>
        </is>
      </c>
      <c r="G113" t="inlineStr">
        <is>
          <t>NYNÄSHAMN</t>
        </is>
      </c>
      <c r="H113" t="inlineStr">
        <is>
          <t>Kommuner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21202-2025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45779</v>
      </c>
      <c r="E114" s="1" t="n">
        <v>46289</v>
      </c>
      <c r="F114" t="inlineStr">
        <is>
          <t>STOCKHOLMS LÄN</t>
        </is>
      </c>
      <c r="G114" t="inlineStr">
        <is>
          <t>NYNÄSHAMN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46170</v>
      </c>
      <c r="E115" s="1" t="n">
        <v>46289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12032-2026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46085</v>
      </c>
      <c r="E116" s="1" t="n">
        <v>46289</v>
      </c>
      <c r="F116" t="inlineStr">
        <is>
          <t>STOCKHOLMS LÄN</t>
        </is>
      </c>
      <c r="G116" t="inlineStr">
        <is>
          <t>NYNÄSHAMN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46210</v>
      </c>
      <c r="E117" s="1" t="n">
        <v>46289</v>
      </c>
      <c r="F117" t="inlineStr">
        <is>
          <t>STOCKHOLMS LÄN</t>
        </is>
      </c>
      <c r="G117" t="inlineStr">
        <is>
          <t>NYNÄSHAMN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46237</v>
      </c>
      <c r="E118" s="1" t="n">
        <v>46289</v>
      </c>
      <c r="F118" t="inlineStr">
        <is>
          <t>STOCKHOLMS LÄN</t>
        </is>
      </c>
      <c r="G118" t="inlineStr">
        <is>
          <t>NYNÄSHAMN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46237</v>
      </c>
      <c r="E119" s="1" t="n">
        <v>46289</v>
      </c>
      <c r="F119" t="inlineStr">
        <is>
          <t>STOCKHOLMS LÄN</t>
        </is>
      </c>
      <c r="G119" t="inlineStr">
        <is>
          <t>NYNÄSHAMN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46289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46289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46289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2026-09-24T01:52:37Z</dcterms:created>
  <dcterms:modified xmlns:dcterms="http://purl.org/dc/terms/" xmlns:xsi="http://www.w3.org/2001/XMLSchema-instance" xsi:type="dcterms:W3CDTF">2026-09-24T01:52:37Z</dcterms:modified>
</cp:coreProperties>
</file>