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45700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45700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45700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5527-2023</t>
        </is>
      </c>
      <c r="B5" s="1" t="n">
        <v>44960</v>
      </c>
      <c r="C5" s="1" t="n">
        <v>45700</v>
      </c>
      <c r="D5" t="inlineStr">
        <is>
          <t>STOCKHOLMS LÄN</t>
        </is>
      </c>
      <c r="E5" t="inlineStr">
        <is>
          <t>NYNÄSHAMN</t>
        </is>
      </c>
      <c r="G5" t="n">
        <v>7.3</v>
      </c>
      <c r="H5" t="n">
        <v>2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Granticka
Tallticka
Blåmossa
Granbarkgnagare
Grön sköldmossa
Stor aspticka
Blåsippa</t>
        </is>
      </c>
      <c r="S5">
        <f>HYPERLINK("https://klasma.github.io/Logging_0192/artfynd/A 5527-2023 artfynd.xlsx", "A 5527-2023")</f>
        <v/>
      </c>
      <c r="T5">
        <f>HYPERLINK("https://klasma.github.io/Logging_0192/kartor/A 5527-2023 karta.png", "A 5527-2023")</f>
        <v/>
      </c>
      <c r="V5">
        <f>HYPERLINK("https://klasma.github.io/Logging_0192/klagomål/A 5527-2023 FSC-klagomål.docx", "A 5527-2023")</f>
        <v/>
      </c>
      <c r="W5">
        <f>HYPERLINK("https://klasma.github.io/Logging_0192/klagomålsmail/A 5527-2023 FSC-klagomål mail.docx", "A 5527-2023")</f>
        <v/>
      </c>
      <c r="X5">
        <f>HYPERLINK("https://klasma.github.io/Logging_0192/tillsyn/A 5527-2023 tillsynsbegäran.docx", "A 5527-2023")</f>
        <v/>
      </c>
      <c r="Y5">
        <f>HYPERLINK("https://klasma.github.io/Logging_0192/tillsynsmail/A 5527-2023 tillsynsbegäran mail.docx", "A 5527-2023")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45700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5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Grönfink
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39902-2019</t>
        </is>
      </c>
      <c r="B7" s="1" t="n">
        <v>43692</v>
      </c>
      <c r="C7" s="1" t="n">
        <v>45700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7.7</v>
      </c>
      <c r="H7" t="n">
        <v>4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Noshornsoxe
Skogsknipprot
Huggorm
Vanlig snok
Gullviva</t>
        </is>
      </c>
      <c r="S7">
        <f>HYPERLINK("https://klasma.github.io/Logging_0192/artfynd/A 39902-2019 artfynd.xlsx", "A 39902-2019")</f>
        <v/>
      </c>
      <c r="T7">
        <f>HYPERLINK("https://klasma.github.io/Logging_0192/kartor/A 39902-2019 karta.png", "A 39902-2019")</f>
        <v/>
      </c>
      <c r="V7">
        <f>HYPERLINK("https://klasma.github.io/Logging_0192/klagomål/A 39902-2019 FSC-klagomål.docx", "A 39902-2019")</f>
        <v/>
      </c>
      <c r="W7">
        <f>HYPERLINK("https://klasma.github.io/Logging_0192/klagomålsmail/A 39902-2019 FSC-klagomål mail.docx", "A 39902-2019")</f>
        <v/>
      </c>
      <c r="X7">
        <f>HYPERLINK("https://klasma.github.io/Logging_0192/tillsyn/A 39902-2019 tillsynsbegäran.docx", "A 39902-2019")</f>
        <v/>
      </c>
      <c r="Y7">
        <f>HYPERLINK("https://klasma.github.io/Logging_0192/tillsynsmail/A 39902-2019 tillsynsbegäran mail.docx", "A 39902-2019")</f>
        <v/>
      </c>
    </row>
    <row r="8" ht="15" customHeight="1">
      <c r="A8" t="inlineStr">
        <is>
          <t>A 3220-2020</t>
        </is>
      </c>
      <c r="B8" s="1" t="n">
        <v>43851</v>
      </c>
      <c r="C8" s="1" t="n">
        <v>45700</v>
      </c>
      <c r="D8" t="inlineStr">
        <is>
          <t>STOCKHOLMS LÄN</t>
        </is>
      </c>
      <c r="E8" t="inlineStr">
        <is>
          <t>NYNÄSHAMN</t>
        </is>
      </c>
      <c r="G8" t="n">
        <v>11.2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Blåmossa
Bronshjon
Granbarkgnagare
Vågbandad barkbock</t>
        </is>
      </c>
      <c r="S8">
        <f>HYPERLINK("https://klasma.github.io/Logging_0192/artfynd/A 3220-2020 artfynd.xlsx", "A 3220-2020")</f>
        <v/>
      </c>
      <c r="T8">
        <f>HYPERLINK("https://klasma.github.io/Logging_0192/kartor/A 3220-2020 karta.png", "A 3220-2020")</f>
        <v/>
      </c>
      <c r="V8">
        <f>HYPERLINK("https://klasma.github.io/Logging_0192/klagomål/A 3220-2020 FSC-klagomål.docx", "A 3220-2020")</f>
        <v/>
      </c>
      <c r="W8">
        <f>HYPERLINK("https://klasma.github.io/Logging_0192/klagomålsmail/A 3220-2020 FSC-klagomål mail.docx", "A 3220-2020")</f>
        <v/>
      </c>
      <c r="X8">
        <f>HYPERLINK("https://klasma.github.io/Logging_0192/tillsyn/A 3220-2020 tillsynsbegäran.docx", "A 3220-2020")</f>
        <v/>
      </c>
      <c r="Y8">
        <f>HYPERLINK("https://klasma.github.io/Logging_0192/tillsynsmail/A 3220-2020 tillsynsbegäran mail.docx", "A 3220-2020")</f>
        <v/>
      </c>
      <c r="Z8">
        <f>HYPERLINK("https://klasma.github.io/Logging_0192/fåglar/A 3220-2020 prioriterade fågelarter.docx", "A 3220-2020")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45700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45700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45700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45700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45700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45700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45700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45700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45700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45700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45700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45700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45700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45700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45700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45700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45700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45700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45700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45700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45700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45700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45700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45700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45700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45700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45700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45700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45700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45700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45700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45700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45700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45700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45700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45700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45700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45700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45700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45700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45700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45700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45700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45700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45700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45700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45700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45700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45700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45700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45700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45700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45700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45700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45700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45700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45700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45700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45700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45700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45700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45700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45700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45700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45700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45700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45700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45700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45700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45700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45700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45700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45700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45700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45700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45700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45700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45700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45700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45700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45700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45700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45700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45700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45700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45700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45700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45700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45700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45700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45700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45700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45700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45700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45700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45700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45700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45700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45700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45700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45700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45700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45700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45700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45700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45700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45700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45700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45700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45700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45700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45700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45700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45700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45700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45700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45700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45700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45700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45700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45700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45700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45700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45700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45700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45700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45700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45700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45700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45700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45700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45700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45700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45700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45700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45700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45700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45700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45700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45700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45700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45700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45700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45700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45700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45700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45700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45700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45700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45700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45700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45700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45700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45700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45700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45700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45700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45700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45700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45700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45700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45700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45700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45700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45700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45700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45700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45700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45700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45700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45700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45700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45700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45700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45700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45700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45700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45700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45700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45700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45700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45700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45700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45700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45700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45700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45700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45700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45700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45700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45700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45700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45700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45700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45700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45700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45700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45700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45700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45700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45700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45700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45700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45700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45700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45700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45700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45700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45700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45700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45700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45700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45700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45700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45700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45700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45700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45700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45700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45700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45700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45700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45700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45700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45700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45700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45700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45700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45700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45700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45700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45700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45700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45700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45700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45700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45700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45700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45700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45700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59364-2024</t>
        </is>
      </c>
      <c r="B249" s="1" t="n">
        <v>45638</v>
      </c>
      <c r="C249" s="1" t="n">
        <v>45700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636-2025</t>
        </is>
      </c>
      <c r="B250" s="1" t="n">
        <v>45664</v>
      </c>
      <c r="C250" s="1" t="n">
        <v>45700</v>
      </c>
      <c r="D250" t="inlineStr">
        <is>
          <t>STOCKHOLMS LÄN</t>
        </is>
      </c>
      <c r="E250" t="inlineStr">
        <is>
          <t>NYNÄSHAMN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3341-2025</t>
        </is>
      </c>
      <c r="B251" s="1" t="n">
        <v>45679</v>
      </c>
      <c r="C251" s="1" t="n">
        <v>45700</v>
      </c>
      <c r="D251" t="inlineStr">
        <is>
          <t>STOCKHOLMS LÄN</t>
        </is>
      </c>
      <c r="E251" t="inlineStr">
        <is>
          <t>NYNÄSHAMN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4219-2025</t>
        </is>
      </c>
      <c r="B252" s="1" t="n">
        <v>45685</v>
      </c>
      <c r="C252" s="1" t="n">
        <v>45700</v>
      </c>
      <c r="D252" t="inlineStr">
        <is>
          <t>STOCKHOLMS LÄN</t>
        </is>
      </c>
      <c r="E252" t="inlineStr">
        <is>
          <t>NYNÄSHAMN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>
      <c r="A253" t="inlineStr">
        <is>
          <t>A 5767-2025</t>
        </is>
      </c>
      <c r="B253" s="1" t="n">
        <v>45694</v>
      </c>
      <c r="C253" s="1" t="n">
        <v>45700</v>
      </c>
      <c r="D253" t="inlineStr">
        <is>
          <t>STOCKHOLMS LÄN</t>
        </is>
      </c>
      <c r="E253" t="inlineStr">
        <is>
          <t>NYNÄSHAMN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2025-02-12T15:45:14Z</dcterms:created>
  <dcterms:modified xmlns:dcterms="http://purl.org/dc/terms/" xmlns:xsi="http://www.w3.org/2001/XMLSchema-instance" xsi:type="dcterms:W3CDTF">2025-02-12T15:45:14Z</dcterms:modified>
</cp:coreProperties>
</file>