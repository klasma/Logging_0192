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46296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46296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46296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46296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46296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46296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46296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46296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46296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46296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46296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46296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46296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46296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46296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46296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8939-2023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44979</v>
      </c>
      <c r="E22" s="1" t="n">
        <v>46296</v>
      </c>
      <c r="F22" t="inlineStr">
        <is>
          <t>STOCKHOLMS LÄN</t>
        </is>
      </c>
      <c r="G22" t="inlineStr">
        <is>
          <t>NYNÄSHAMN</t>
        </is>
      </c>
      <c r="I22" t="n">
        <v>2.7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8939-2023 artfynd.xlsx", "A 8939-2023")</f>
        <v/>
      </c>
      <c r="X22">
        <f>HYPERLINK("https://klasma.github.io/Logging_0192/kartor/A 8939-2023 karta.png", "A 8939-2023")</f>
        <v/>
      </c>
      <c r="Y22">
        <f>HYPERLINK("https://klasma.github.io/Logging_0192/kartor_geotiff/A 8939-2023 georefererad karta.tif", "A 8939-2023")</f>
        <v/>
      </c>
      <c r="AA22">
        <f>HYPERLINK("https://klasma.github.io/Logging_0192/klagomål/A 8939-2023 FSC-klagomål.docx", "A 8939-2023")</f>
        <v/>
      </c>
      <c r="AB22">
        <f>HYPERLINK("https://klasma.github.io/Logging_0192/klagomålsmail/A 8939-2023 FSC-klagomål mail.docx", "A 8939-2023")</f>
        <v/>
      </c>
      <c r="AC22">
        <f>HYPERLINK("https://klasma.github.io/Logging_0192/tillsyn/A 8939-2023 tillsynsbegäran.docx", "A 8939-2023")</f>
        <v/>
      </c>
      <c r="AD22">
        <f>HYPERLINK("https://klasma.github.io/Logging_0192/tillsynsmail/A 8939-2023 tillsynsbegäran mail.docx", "A 8939-2023")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46296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33528-2023 artfynd.xlsx", "A 33528-2023")</f>
        <v/>
      </c>
      <c r="X23">
        <f>HYPERLINK("https://klasma.github.io/Logging_0192/kartor/A 33528-2023 karta.png", "A 33528-2023")</f>
        <v/>
      </c>
      <c r="Y23">
        <f>HYPERLINK("https://klasma.github.io/Logging_0192/kartor_geotiff/A 33528-2023 georefererad karta.tif", "A 33528-2023")</f>
        <v/>
      </c>
      <c r="AA23">
        <f>HYPERLINK("https://klasma.github.io/Logging_0192/klagomål/A 33528-2023 FSC-klagomål.docx", "A 33528-2023")</f>
        <v/>
      </c>
      <c r="AB23">
        <f>HYPERLINK("https://klasma.github.io/Logging_0192/klagomålsmail/A 33528-2023 FSC-klagomål mail.docx", "A 33528-2023")</f>
        <v/>
      </c>
      <c r="AC23">
        <f>HYPERLINK("https://klasma.github.io/Logging_0192/tillsyn/A 33528-2023 tillsynsbegäran.docx", "A 33528-2023")</f>
        <v/>
      </c>
      <c r="AD23">
        <f>HYPERLINK("https://klasma.github.io/Logging_0192/tillsynsmail/A 33528-2023 tillsynsbegäran mail.docx", "A 33528-2023")</f>
        <v/>
      </c>
    </row>
    <row r="24" ht="15" customHeight="1">
      <c r="A24" t="inlineStr">
        <is>
          <t>A 49523-2023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46296</v>
      </c>
      <c r="F24" t="inlineStr">
        <is>
          <t>STOCKHOLMS LÄN</t>
        </is>
      </c>
      <c r="G24" t="inlineStr">
        <is>
          <t>NYNÄSHAMN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Grönpyrola
Västlig hakmossa</t>
        </is>
      </c>
      <c r="W24">
        <f>HYPERLINK("https://klasma.github.io/Logging_0192/artfynd/A 49523-2023 artfynd.xlsx", "A 49523-2023")</f>
        <v/>
      </c>
      <c r="X24">
        <f>HYPERLINK("https://klasma.github.io/Logging_0192/kartor/A 49523-2023 karta.png", "A 49523-2023")</f>
        <v/>
      </c>
      <c r="Y24">
        <f>HYPERLINK("https://klasma.github.io/Logging_0192/kartor_geotiff/A 49523-2023 georefererad karta.tif", "A 49523-2023")</f>
        <v/>
      </c>
      <c r="AA24">
        <f>HYPERLINK("https://klasma.github.io/Logging_0192/klagomål/A 49523-2023 FSC-klagomål.docx", "A 49523-2023")</f>
        <v/>
      </c>
      <c r="AB24">
        <f>HYPERLINK("https://klasma.github.io/Logging_0192/klagomålsmail/A 49523-2023 FSC-klagomål mail.docx", "A 49523-2023")</f>
        <v/>
      </c>
      <c r="AC24">
        <f>HYPERLINK("https://klasma.github.io/Logging_0192/tillsyn/A 49523-2023 tillsynsbegäran.docx", "A 49523-2023")</f>
        <v/>
      </c>
      <c r="AD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46296</v>
      </c>
      <c r="F25" t="inlineStr">
        <is>
          <t>STOCKHOLMS LÄN</t>
        </is>
      </c>
      <c r="G25" t="inlineStr">
        <is>
          <t>NYNÄSHAMN</t>
        </is>
      </c>
      <c r="I25" t="n">
        <v>1.5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Blåsippa
Gullviva</t>
        </is>
      </c>
      <c r="W25">
        <f>HYPERLINK("https://klasma.github.io/Logging_0192/artfynd/A 64189-2023 artfynd.xlsx", "A 64189-2023")</f>
        <v/>
      </c>
      <c r="X25">
        <f>HYPERLINK("https://klasma.github.io/Logging_0192/kartor/A 64189-2023 karta.png", "A 64189-2023")</f>
        <v/>
      </c>
      <c r="Y25">
        <f>HYPERLINK("https://klasma.github.io/Logging_0192/kartor_geotiff/A 64189-2023 georefererad karta.tif", "A 64189-2023")</f>
        <v/>
      </c>
      <c r="AA25">
        <f>HYPERLINK("https://klasma.github.io/Logging_0192/klagomål/A 64189-2023 FSC-klagomål.docx", "A 64189-2023")</f>
        <v/>
      </c>
      <c r="AB25">
        <f>HYPERLINK("https://klasma.github.io/Logging_0192/klagomålsmail/A 64189-2023 FSC-klagomål mail.docx", "A 64189-2023")</f>
        <v/>
      </c>
      <c r="AC25">
        <f>HYPERLINK("https://klasma.github.io/Logging_0192/tillsyn/A 64189-2023 tillsynsbegäran.docx", "A 64189-2023")</f>
        <v/>
      </c>
      <c r="AD25">
        <f>HYPERLINK("https://klasma.github.io/Logging_0192/tillsynsmail/A 64189-2023 tillsynsbegäran mail.docx", "A 64189-2023")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46296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32011-2023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45119</v>
      </c>
      <c r="E27" s="1" t="n">
        <v>46296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5.4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Fiskgjuse</t>
        </is>
      </c>
      <c r="W27">
        <f>HYPERLINK("https://klasma.github.io/Logging_0192/artfynd/A 32011-2023 artfynd.xlsx", "A 32011-2023")</f>
        <v/>
      </c>
      <c r="X27">
        <f>HYPERLINK("https://klasma.github.io/Logging_0192/kartor/A 32011-2023 karta.png", "A 32011-2023")</f>
        <v/>
      </c>
      <c r="Y27">
        <f>HYPERLINK("https://klasma.github.io/Logging_0192/kartor_geotiff/A 32011-2023 georefererad karta.tif", "A 32011-2023")</f>
        <v/>
      </c>
      <c r="AA27">
        <f>HYPERLINK("https://klasma.github.io/Logging_0192/klagomål/A 32011-2023 FSC-klagomål.docx", "A 32011-2023")</f>
        <v/>
      </c>
      <c r="AB27">
        <f>HYPERLINK("https://klasma.github.io/Logging_0192/klagomålsmail/A 32011-2023 FSC-klagomål mail.docx", "A 32011-2023")</f>
        <v/>
      </c>
      <c r="AC27">
        <f>HYPERLINK("https://klasma.github.io/Logging_0192/tillsyn/A 32011-2023 tillsynsbegäran.docx", "A 32011-2023")</f>
        <v/>
      </c>
      <c r="AD27">
        <f>HYPERLINK("https://klasma.github.io/Logging_0192/tillsynsmail/A 32011-2023 tillsynsbegäran mail.docx", "A 32011-2023")</f>
        <v/>
      </c>
      <c r="AE27">
        <f>HYPERLINK("https://klasma.github.io/Logging_0192/fåglar/A 32011-2023 prioriterade fågelarter.docx", "A 32011-2023")</f>
        <v/>
      </c>
    </row>
    <row r="28" ht="15" customHeight="1">
      <c r="A28" t="inlineStr">
        <is>
          <t>A 62634-2022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44917</v>
      </c>
      <c r="E28" s="1" t="n">
        <v>46296</v>
      </c>
      <c r="F28" t="inlineStr">
        <is>
          <t>STOCKHOLMS LÄN</t>
        </is>
      </c>
      <c r="G28" t="inlineStr">
        <is>
          <t>NYNÄSHAMN</t>
        </is>
      </c>
      <c r="I28" t="n">
        <v>15.8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padda</t>
        </is>
      </c>
      <c r="W28">
        <f>HYPERLINK("https://klasma.github.io/Logging_0192/artfynd/A 62634-2022 artfynd.xlsx", "A 62634-2022")</f>
        <v/>
      </c>
      <c r="X28">
        <f>HYPERLINK("https://klasma.github.io/Logging_0192/kartor/A 62634-2022 karta.png", "A 62634-2022")</f>
        <v/>
      </c>
      <c r="Y28">
        <f>HYPERLINK("https://klasma.github.io/Logging_0192/kartor_geotiff/A 62634-2022 georefererad karta.tif", "A 62634-2022")</f>
        <v/>
      </c>
      <c r="AA28">
        <f>HYPERLINK("https://klasma.github.io/Logging_0192/klagomål/A 62634-2022 FSC-klagomål.docx", "A 62634-2022")</f>
        <v/>
      </c>
      <c r="AB28">
        <f>HYPERLINK("https://klasma.github.io/Logging_0192/klagomålsmail/A 62634-2022 FSC-klagomål mail.docx", "A 62634-2022")</f>
        <v/>
      </c>
      <c r="AC28">
        <f>HYPERLINK("https://klasma.github.io/Logging_0192/tillsyn/A 62634-2022 tillsynsbegäran.docx", "A 62634-2022")</f>
        <v/>
      </c>
      <c r="AD28">
        <f>HYPERLINK("https://klasma.github.io/Logging_0192/tillsynsmail/A 62634-2022 tillsynsbegäran mail.docx", "A 62634-2022")</f>
        <v/>
      </c>
    </row>
    <row r="29" ht="15" customHeight="1">
      <c r="A29" t="inlineStr">
        <is>
          <t>A 32074-2023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46296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13.1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Grå kantarell</t>
        </is>
      </c>
      <c r="W29">
        <f>HYPERLINK("https://klasma.github.io/Logging_0192/artfynd/A 32074-2023 artfynd.xlsx", "A 32074-2023")</f>
        <v/>
      </c>
      <c r="X29">
        <f>HYPERLINK("https://klasma.github.io/Logging_0192/kartor/A 32074-2023 karta.png", "A 32074-2023")</f>
        <v/>
      </c>
      <c r="Y29">
        <f>HYPERLINK("https://klasma.github.io/Logging_0192/kartor_geotiff/A 32074-2023 georefererad karta.tif", "A 32074-2023")</f>
        <v/>
      </c>
      <c r="AA29">
        <f>HYPERLINK("https://klasma.github.io/Logging_0192/klagomål/A 32074-2023 FSC-klagomål.docx", "A 32074-2023")</f>
        <v/>
      </c>
      <c r="AB29">
        <f>HYPERLINK("https://klasma.github.io/Logging_0192/klagomålsmail/A 32074-2023 FSC-klagomål mail.docx", "A 32074-2023")</f>
        <v/>
      </c>
      <c r="AC29">
        <f>HYPERLINK("https://klasma.github.io/Logging_0192/tillsyn/A 32074-2023 tillsynsbegäran.docx", "A 32074-2023")</f>
        <v/>
      </c>
      <c r="AD29">
        <f>HYPERLINK("https://klasma.github.io/Logging_0192/tillsynsmail/A 32074-2023 tillsynsbegäran mail.docx", "A 32074-2023")</f>
        <v/>
      </c>
    </row>
    <row r="30" ht="15" customHeight="1">
      <c r="A30" t="inlineStr">
        <is>
          <t>A 9017-2023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44979</v>
      </c>
      <c r="E30" s="1" t="n">
        <v>46296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2.7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Tofsvipa</t>
        </is>
      </c>
      <c r="W30">
        <f>HYPERLINK("https://klasma.github.io/Logging_0192/artfynd/A 9017-2023 artfynd.xlsx", "A 9017-2023")</f>
        <v/>
      </c>
      <c r="X30">
        <f>HYPERLINK("https://klasma.github.io/Logging_0192/kartor/A 9017-2023 karta.png", "A 9017-2023")</f>
        <v/>
      </c>
      <c r="Y30">
        <f>HYPERLINK("https://klasma.github.io/Logging_0192/kartor_geotiff/A 9017-2023 georefererad karta.tif", "A 9017-2023")</f>
        <v/>
      </c>
      <c r="AA30">
        <f>HYPERLINK("https://klasma.github.io/Logging_0192/klagomål/A 9017-2023 FSC-klagomål.docx", "A 9017-2023")</f>
        <v/>
      </c>
      <c r="AB30">
        <f>HYPERLINK("https://klasma.github.io/Logging_0192/klagomålsmail/A 9017-2023 FSC-klagomål mail.docx", "A 9017-2023")</f>
        <v/>
      </c>
      <c r="AC30">
        <f>HYPERLINK("https://klasma.github.io/Logging_0192/tillsyn/A 9017-2023 tillsynsbegäran.docx", "A 9017-2023")</f>
        <v/>
      </c>
      <c r="AD30">
        <f>HYPERLINK("https://klasma.github.io/Logging_0192/tillsynsmail/A 9017-2023 tillsynsbegäran mail.docx", "A 9017-2023")</f>
        <v/>
      </c>
    </row>
    <row r="31" ht="15" customHeight="1">
      <c r="A31" t="inlineStr">
        <is>
          <t>A 27748-2023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45098</v>
      </c>
      <c r="E31" s="1" t="n">
        <v>46296</v>
      </c>
      <c r="F31" t="inlineStr">
        <is>
          <t>STOCKHOLMS LÄN</t>
        </is>
      </c>
      <c r="G31" t="inlineStr">
        <is>
          <t>NYNÄSHAMN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HYPERLINK("https://klasma.github.io/Logging_0192/artfynd/A 27748-2023 artfynd.xlsx", "A 27748-2023")</f>
        <v/>
      </c>
      <c r="X31">
        <f>HYPERLINK("https://klasma.github.io/Logging_0192/kartor/A 27748-2023 karta.png", "A 27748-2023")</f>
        <v/>
      </c>
      <c r="Y31">
        <f>HYPERLINK("https://klasma.github.io/Logging_0192/kartor_geotiff/A 27748-2023 georefererad karta.tif", "A 27748-2023")</f>
        <v/>
      </c>
      <c r="AA31">
        <f>HYPERLINK("https://klasma.github.io/Logging_0192/klagomål/A 27748-2023 FSC-klagomål.docx", "A 27748-2023")</f>
        <v/>
      </c>
      <c r="AB31">
        <f>HYPERLINK("https://klasma.github.io/Logging_0192/klagomålsmail/A 27748-2023 FSC-klagomål mail.docx", "A 27748-2023")</f>
        <v/>
      </c>
      <c r="AC31">
        <f>HYPERLINK("https://klasma.github.io/Logging_0192/tillsyn/A 27748-2023 tillsynsbegäran.docx", "A 27748-2023")</f>
        <v/>
      </c>
      <c r="AD31">
        <f>HYPERLINK("https://klasma.github.io/Logging_0192/tillsynsmail/A 27748-2023 tillsynsbegäran mail.docx", "A 27748-2023")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46296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Grön sköldmossa</t>
        </is>
      </c>
      <c r="W32">
        <f>HYPERLINK("https://klasma.github.io/Logging_0192/artfynd/A 31842-2023 artfynd.xlsx", "A 31842-2023")</f>
        <v/>
      </c>
      <c r="X32">
        <f>HYPERLINK("https://klasma.github.io/Logging_0192/kartor/A 31842-2023 karta.png", "A 31842-2023")</f>
        <v/>
      </c>
      <c r="Y32">
        <f>HYPERLINK("https://klasma.github.io/Logging_0192/kartor_geotiff/A 31842-2023 georefererad karta.tif", "A 31842-2023")</f>
        <v/>
      </c>
      <c r="AA32">
        <f>HYPERLINK("https://klasma.github.io/Logging_0192/klagomål/A 31842-2023 FSC-klagomål.docx", "A 31842-2023")</f>
        <v/>
      </c>
      <c r="AB32">
        <f>HYPERLINK("https://klasma.github.io/Logging_0192/klagomålsmail/A 31842-2023 FSC-klagomål mail.docx", "A 31842-2023")</f>
        <v/>
      </c>
      <c r="AC32">
        <f>HYPERLINK("https://klasma.github.io/Logging_0192/tillsyn/A 31842-2023 tillsynsbegäran.docx", "A 31842-2023")</f>
        <v/>
      </c>
      <c r="AD32">
        <f>HYPERLINK("https://klasma.github.io/Logging_0192/tillsynsmail/A 31842-2023 tillsynsbegäran mail.docx", "A 31842-2023")</f>
        <v/>
      </c>
    </row>
    <row r="33" ht="15" customHeight="1">
      <c r="A33" t="inlineStr">
        <is>
          <t>A 6435-2023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44965</v>
      </c>
      <c r="E33" s="1" t="n">
        <v>46296</v>
      </c>
      <c r="F33" t="inlineStr">
        <is>
          <t>STOCKHOLMS LÄN</t>
        </is>
      </c>
      <c r="G33" t="inlineStr">
        <is>
          <t>NYNÄSHAMN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Tallticka</t>
        </is>
      </c>
      <c r="W33">
        <f>HYPERLINK("https://klasma.github.io/Logging_0192/artfynd/A 6435-2023 artfynd.xlsx", "A 6435-2023")</f>
        <v/>
      </c>
      <c r="X33">
        <f>HYPERLINK("https://klasma.github.io/Logging_0192/kartor/A 6435-2023 karta.png", "A 6435-2023")</f>
        <v/>
      </c>
      <c r="Y33">
        <f>HYPERLINK("https://klasma.github.io/Logging_0192/kartor_geotiff/A 6435-2023 georefererad karta.tif", "A 6435-2023")</f>
        <v/>
      </c>
      <c r="AA33">
        <f>HYPERLINK("https://klasma.github.io/Logging_0192/klagomål/A 6435-2023 FSC-klagomål.docx", "A 6435-2023")</f>
        <v/>
      </c>
      <c r="AB33">
        <f>HYPERLINK("https://klasma.github.io/Logging_0192/klagomålsmail/A 6435-2023 FSC-klagomål mail.docx", "A 6435-2023")</f>
        <v/>
      </c>
      <c r="AC33">
        <f>HYPERLINK("https://klasma.github.io/Logging_0192/tillsyn/A 6435-2023 tillsynsbegäran.docx", "A 6435-2023")</f>
        <v/>
      </c>
      <c r="AD33">
        <f>HYPERLINK("https://klasma.github.io/Logging_0192/tillsynsmail/A 6435-2023 tillsynsbegäran mail.docx", "A 6435-2023")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46296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46296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Skärmstarr</t>
        </is>
      </c>
      <c r="W35">
        <f>HYPERLINK("https://klasma.github.io/Logging_0192/artfynd/A 32092-2023 artfynd.xlsx", "A 32092-2023")</f>
        <v/>
      </c>
      <c r="X35">
        <f>HYPERLINK("https://klasma.github.io/Logging_0192/kartor/A 32092-2023 karta.png", "A 32092-2023")</f>
        <v/>
      </c>
      <c r="Y35">
        <f>HYPERLINK("https://klasma.github.io/Logging_0192/kartor_geotiff/A 32092-2023 georefererad karta.tif", "A 32092-2023")</f>
        <v/>
      </c>
      <c r="AA35">
        <f>HYPERLINK("https://klasma.github.io/Logging_0192/klagomål/A 32092-2023 FSC-klagomål.docx", "A 32092-2023")</f>
        <v/>
      </c>
      <c r="AB35">
        <f>HYPERLINK("https://klasma.github.io/Logging_0192/klagomålsmail/A 32092-2023 FSC-klagomål mail.docx", "A 32092-2023")</f>
        <v/>
      </c>
      <c r="AC35">
        <f>HYPERLINK("https://klasma.github.io/Logging_0192/tillsyn/A 32092-2023 tillsynsbegäran.docx", "A 32092-2023")</f>
        <v/>
      </c>
      <c r="AD35">
        <f>HYPERLINK("https://klasma.github.io/Logging_0192/tillsynsmail/A 32092-2023 tillsynsbegäran mail.docx", "A 32092-2023")</f>
        <v/>
      </c>
    </row>
    <row r="36" ht="15" customHeight="1">
      <c r="A36" t="inlineStr">
        <is>
          <t>A 64196-2023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45279</v>
      </c>
      <c r="E36" s="1" t="n">
        <v>46296</v>
      </c>
      <c r="F36" t="inlineStr">
        <is>
          <t>STOCKHOLMS LÄN</t>
        </is>
      </c>
      <c r="G36" t="inlineStr">
        <is>
          <t>NYNÄSHAMN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Revlummer</t>
        </is>
      </c>
      <c r="W36">
        <f>HYPERLINK("https://klasma.github.io/Logging_0192/artfynd/A 64196-2023 artfynd.xlsx", "A 64196-2023")</f>
        <v/>
      </c>
      <c r="X36">
        <f>HYPERLINK("https://klasma.github.io/Logging_0192/kartor/A 64196-2023 karta.png", "A 64196-2023")</f>
        <v/>
      </c>
      <c r="Y36">
        <f>HYPERLINK("https://klasma.github.io/Logging_0192/kartor_geotiff/A 64196-2023 georefererad karta.tif", "A 64196-2023")</f>
        <v/>
      </c>
      <c r="AA36">
        <f>HYPERLINK("https://klasma.github.io/Logging_0192/klagomål/A 64196-2023 FSC-klagomål.docx", "A 64196-2023")</f>
        <v/>
      </c>
      <c r="AB36">
        <f>HYPERLINK("https://klasma.github.io/Logging_0192/klagomålsmail/A 64196-2023 FSC-klagomål mail.docx", "A 64196-2023")</f>
        <v/>
      </c>
      <c r="AC36">
        <f>HYPERLINK("https://klasma.github.io/Logging_0192/tillsyn/A 64196-2023 tillsynsbegäran.docx", "A 64196-2023")</f>
        <v/>
      </c>
      <c r="AD36">
        <f>HYPERLINK("https://klasma.github.io/Logging_0192/tillsynsmail/A 64196-2023 tillsynsbegäran mail.docx", "A 64196-2023")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46296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46296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46296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46296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46296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46296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46296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46296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45274</v>
      </c>
      <c r="E45" s="1" t="n">
        <v>46296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10224-2023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46296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63931-2021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46296</v>
      </c>
      <c r="F47" t="inlineStr">
        <is>
          <t>STOCKHOLMS LÄN</t>
        </is>
      </c>
      <c r="G47" t="inlineStr">
        <is>
          <t>NYNÄSHAMN</t>
        </is>
      </c>
      <c r="H47" t="inlineStr">
        <is>
          <t>Kommuner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44680</v>
      </c>
      <c r="E48" s="1" t="n">
        <v>46296</v>
      </c>
      <c r="F48" t="inlineStr">
        <is>
          <t>STOCKHOLMS LÄN</t>
        </is>
      </c>
      <c r="G48" t="inlineStr">
        <is>
          <t>NYNÄSHAMN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46296</v>
      </c>
      <c r="F49" t="inlineStr">
        <is>
          <t>STOCKHOLMS LÄN</t>
        </is>
      </c>
      <c r="G49" t="inlineStr">
        <is>
          <t>NYNÄSHAMN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46296</v>
      </c>
      <c r="F50" t="inlineStr">
        <is>
          <t>STOCKHOLMS LÄN</t>
        </is>
      </c>
      <c r="G50" t="inlineStr">
        <is>
          <t>NYNÄSHAMN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46296</v>
      </c>
      <c r="F51" t="inlineStr">
        <is>
          <t>STOCKHOLMS LÄN</t>
        </is>
      </c>
      <c r="G51" t="inlineStr">
        <is>
          <t>NYNÄSHAMN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62038-2023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45266</v>
      </c>
      <c r="E52" s="1" t="n">
        <v>46296</v>
      </c>
      <c r="F52" t="inlineStr">
        <is>
          <t>STOCKHOLMS LÄN</t>
        </is>
      </c>
      <c r="G52" t="inlineStr">
        <is>
          <t>NYNÄSHAMN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45520</v>
      </c>
      <c r="E53" s="1" t="n">
        <v>46296</v>
      </c>
      <c r="F53" t="inlineStr">
        <is>
          <t>STOCKHOLMS LÄN</t>
        </is>
      </c>
      <c r="G53" t="inlineStr">
        <is>
          <t>NYNÄSHAMN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45196</v>
      </c>
      <c r="E54" s="1" t="n">
        <v>46296</v>
      </c>
      <c r="F54" t="inlineStr">
        <is>
          <t>STOCKHOLMS LÄN</t>
        </is>
      </c>
      <c r="G54" t="inlineStr">
        <is>
          <t>NYNÄSHAMN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46296</v>
      </c>
      <c r="F55" t="inlineStr">
        <is>
          <t>STOCKHOLMS LÄN</t>
        </is>
      </c>
      <c r="G55" t="inlineStr">
        <is>
          <t>NYNÄSHAMN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45664</v>
      </c>
      <c r="E56" s="1" t="n">
        <v>46296</v>
      </c>
      <c r="F56" t="inlineStr">
        <is>
          <t>STOCKHOLMS LÄN</t>
        </is>
      </c>
      <c r="G56" t="inlineStr">
        <is>
          <t>NYNÄSHAMN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45747</v>
      </c>
      <c r="E57" s="1" t="n">
        <v>46296</v>
      </c>
      <c r="F57" t="inlineStr">
        <is>
          <t>STOCKHOLMS LÄN</t>
        </is>
      </c>
      <c r="G57" t="inlineStr">
        <is>
          <t>NYNÄSHAMN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45239</v>
      </c>
      <c r="E58" s="1" t="n">
        <v>46296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45457</v>
      </c>
      <c r="E59" s="1" t="n">
        <v>46296</v>
      </c>
      <c r="F59" t="inlineStr">
        <is>
          <t>STOCKHOLMS LÄN</t>
        </is>
      </c>
      <c r="G59" t="inlineStr">
        <is>
          <t>NYNÄSHAMN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46296</v>
      </c>
      <c r="F60" t="inlineStr">
        <is>
          <t>STOCKHOLMS LÄN</t>
        </is>
      </c>
      <c r="G60" t="inlineStr">
        <is>
          <t>NYNÄSHAMN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46296</v>
      </c>
      <c r="F61" t="inlineStr">
        <is>
          <t>STOCKHOLMS LÄN</t>
        </is>
      </c>
      <c r="G61" t="inlineStr">
        <is>
          <t>NYNÄSHAMN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46296</v>
      </c>
      <c r="F62" t="inlineStr">
        <is>
          <t>STOCKHOLMS LÄN</t>
        </is>
      </c>
      <c r="G62" t="inlineStr">
        <is>
          <t>NYNÄSHAMN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44735</v>
      </c>
      <c r="E63" s="1" t="n">
        <v>46296</v>
      </c>
      <c r="F63" t="inlineStr">
        <is>
          <t>STOCKHOLMS LÄN</t>
        </is>
      </c>
      <c r="G63" t="inlineStr">
        <is>
          <t>NYNÄSHAMN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45149</v>
      </c>
      <c r="E64" s="1" t="n">
        <v>46296</v>
      </c>
      <c r="F64" t="inlineStr">
        <is>
          <t>STOCKHOLMS LÄN</t>
        </is>
      </c>
      <c r="G64" t="inlineStr">
        <is>
          <t>NYNÄSHAMN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46296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34385-2023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46296</v>
      </c>
      <c r="F66" t="inlineStr">
        <is>
          <t>STOCKHOLMS LÄN</t>
        </is>
      </c>
      <c r="G66" t="inlineStr">
        <is>
          <t>NYNÄSHAMN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35356-2023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45146</v>
      </c>
      <c r="E67" s="1" t="n">
        <v>46296</v>
      </c>
      <c r="F67" t="inlineStr">
        <is>
          <t>STOCKHOLMS LÄN</t>
        </is>
      </c>
      <c r="G67" t="inlineStr">
        <is>
          <t>NYNÄSHAMN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34660-2023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45140</v>
      </c>
      <c r="E68" s="1" t="n">
        <v>46296</v>
      </c>
      <c r="F68" t="inlineStr">
        <is>
          <t>STOCKHOLMS LÄN</t>
        </is>
      </c>
      <c r="G68" t="inlineStr">
        <is>
          <t>NYNÄSHAMN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45344</v>
      </c>
      <c r="E69" s="1" t="n">
        <v>46296</v>
      </c>
      <c r="F69" t="inlineStr">
        <is>
          <t>STOCKHOLMS LÄN</t>
        </is>
      </c>
      <c r="G69" t="inlineStr">
        <is>
          <t>NYNÄSHAMN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44574</v>
      </c>
      <c r="E70" s="1" t="n">
        <v>46296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21202-2025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45779</v>
      </c>
      <c r="E71" s="1" t="n">
        <v>46296</v>
      </c>
      <c r="F71" t="inlineStr">
        <is>
          <t>STOCKHOLMS LÄN</t>
        </is>
      </c>
      <c r="G71" t="inlineStr">
        <is>
          <t>NYNÄSHAMN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45184</v>
      </c>
      <c r="E72" s="1" t="n">
        <v>46296</v>
      </c>
      <c r="F72" t="inlineStr">
        <is>
          <t>STOCKHOLMS LÄN</t>
        </is>
      </c>
      <c r="G72" t="inlineStr">
        <is>
          <t>NYNÄSHAMN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46296</v>
      </c>
      <c r="F73" t="inlineStr">
        <is>
          <t>STOCKHOLMS LÄN</t>
        </is>
      </c>
      <c r="G73" t="inlineStr">
        <is>
          <t>NYNÄSHAMN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45789</v>
      </c>
      <c r="E74" s="1" t="n">
        <v>46296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46296</v>
      </c>
      <c r="F75" t="inlineStr">
        <is>
          <t>STOCKHOLMS LÄN</t>
        </is>
      </c>
      <c r="G75" t="inlineStr">
        <is>
          <t>NYNÄSHAMN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46296</v>
      </c>
      <c r="F76" t="inlineStr">
        <is>
          <t>STOCKHOLMS LÄN</t>
        </is>
      </c>
      <c r="G76" t="inlineStr">
        <is>
          <t>NYNÄSHAMN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64411-2023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46296</v>
      </c>
      <c r="F77" t="inlineStr">
        <is>
          <t>STOCKHOLMS LÄN</t>
        </is>
      </c>
      <c r="G77" t="inlineStr">
        <is>
          <t>NYNÄSHAMN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46296</v>
      </c>
      <c r="F78" t="inlineStr">
        <is>
          <t>STOCKHOLMS LÄN</t>
        </is>
      </c>
      <c r="G78" t="inlineStr">
        <is>
          <t>NYNÄSHAMN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41767-2024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45561</v>
      </c>
      <c r="E79" s="1" t="n">
        <v>46296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46296</v>
      </c>
      <c r="F80" t="inlineStr">
        <is>
          <t>STOCKHOLMS LÄN</t>
        </is>
      </c>
      <c r="G80" t="inlineStr">
        <is>
          <t>NYNÄSHAMN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41677-2023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45173</v>
      </c>
      <c r="E81" s="1" t="n">
        <v>46296</v>
      </c>
      <c r="F81" t="inlineStr">
        <is>
          <t>STOCKHOLMS LÄN</t>
        </is>
      </c>
      <c r="G81" t="inlineStr">
        <is>
          <t>NYNÄSHAMN</t>
        </is>
      </c>
      <c r="I81" t="n">
        <v>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45173</v>
      </c>
      <c r="E82" s="1" t="n">
        <v>46296</v>
      </c>
      <c r="F82" t="inlineStr">
        <is>
          <t>STOCKHOLMS LÄN</t>
        </is>
      </c>
      <c r="G82" t="inlineStr">
        <is>
          <t>NYNÄSHAMN</t>
        </is>
      </c>
      <c r="I82" t="n">
        <v>12.3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46296</v>
      </c>
      <c r="F83" t="inlineStr">
        <is>
          <t>STOCKHOLMS LÄN</t>
        </is>
      </c>
      <c r="G83" t="inlineStr">
        <is>
          <t>NYNÄSHAMN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47089-2023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46296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46296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45825</v>
      </c>
      <c r="E86" s="1" t="n">
        <v>46296</v>
      </c>
      <c r="F86" t="inlineStr">
        <is>
          <t>STOCKHOLMS LÄN</t>
        </is>
      </c>
      <c r="G86" t="inlineStr">
        <is>
          <t>NYNÄSHAMN</t>
        </is>
      </c>
      <c r="H86" t="inlineStr">
        <is>
          <t>Övriga statliga verk och myndigheter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46296</v>
      </c>
      <c r="F87" t="inlineStr">
        <is>
          <t>STOCKHOLMS LÄN</t>
        </is>
      </c>
      <c r="G87" t="inlineStr">
        <is>
          <t>NYNÄSHAMN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45469</v>
      </c>
      <c r="E88" s="1" t="n">
        <v>46296</v>
      </c>
      <c r="F88" t="inlineStr">
        <is>
          <t>STOCKHOLMS LÄN</t>
        </is>
      </c>
      <c r="G88" t="inlineStr">
        <is>
          <t>NYNÄSHAMN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44979</v>
      </c>
      <c r="E89" s="1" t="n">
        <v>46296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46296</v>
      </c>
      <c r="F90" t="inlineStr">
        <is>
          <t>STOCKHOLMS LÄN</t>
        </is>
      </c>
      <c r="G90" t="inlineStr">
        <is>
          <t>NYNÄSHAMN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52953-2024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46296</v>
      </c>
      <c r="F91" t="inlineStr">
        <is>
          <t>STOCKHOLMS LÄN</t>
        </is>
      </c>
      <c r="G91" t="inlineStr">
        <is>
          <t>NYNÄSHAMN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13945-2025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45737</v>
      </c>
      <c r="E92" s="1" t="n">
        <v>46296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44979</v>
      </c>
      <c r="E93" s="1" t="n">
        <v>46296</v>
      </c>
      <c r="F93" t="inlineStr">
        <is>
          <t>STOCKHOLMS LÄN</t>
        </is>
      </c>
      <c r="G93" t="inlineStr">
        <is>
          <t>NYNÄSHAMN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44941</v>
      </c>
      <c r="E94" s="1" t="n">
        <v>46296</v>
      </c>
      <c r="F94" t="inlineStr">
        <is>
          <t>STOCKHOLMS LÄN</t>
        </is>
      </c>
      <c r="G94" t="inlineStr">
        <is>
          <t>NYNÄSHAMN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46296</v>
      </c>
      <c r="F95" t="inlineStr">
        <is>
          <t>STOCKHOLMS LÄN</t>
        </is>
      </c>
      <c r="G95" t="inlineStr">
        <is>
          <t>NYNÄSHAMN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46296</v>
      </c>
      <c r="F96" t="inlineStr">
        <is>
          <t>STOCKHOLMS LÄN</t>
        </is>
      </c>
      <c r="G96" t="inlineStr">
        <is>
          <t>NYNÄSHAMN</t>
        </is>
      </c>
      <c r="H96" t="inlineStr">
        <is>
          <t>Kommuner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46296</v>
      </c>
      <c r="F97" t="inlineStr">
        <is>
          <t>STOCKHOLMS LÄN</t>
        </is>
      </c>
      <c r="G97" t="inlineStr">
        <is>
          <t>NYNÄSHAMN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45869</v>
      </c>
      <c r="E98" s="1" t="n">
        <v>46296</v>
      </c>
      <c r="F98" t="inlineStr">
        <is>
          <t>STOCKHOLMS LÄN</t>
        </is>
      </c>
      <c r="G98" t="inlineStr">
        <is>
          <t>NYNÄSHAMN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45869</v>
      </c>
      <c r="E99" s="1" t="n">
        <v>46296</v>
      </c>
      <c r="F99" t="inlineStr">
        <is>
          <t>STOCKHOLMS LÄN</t>
        </is>
      </c>
      <c r="G99" t="inlineStr">
        <is>
          <t>NYNÄSHAMN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45086</v>
      </c>
      <c r="E100" s="1" t="n">
        <v>46296</v>
      </c>
      <c r="F100" t="inlineStr">
        <is>
          <t>STOCKHOLMS LÄN</t>
        </is>
      </c>
      <c r="G100" t="inlineStr">
        <is>
          <t>NYNÄSHAMN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46296</v>
      </c>
      <c r="F101" t="inlineStr">
        <is>
          <t>STOCKHOLMS LÄN</t>
        </is>
      </c>
      <c r="G101" t="inlineStr">
        <is>
          <t>NYNÄSHAMN</t>
        </is>
      </c>
      <c r="H101" t="inlineStr">
        <is>
          <t>Kommuner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45935</v>
      </c>
      <c r="E102" s="1" t="n">
        <v>46296</v>
      </c>
      <c r="F102" t="inlineStr">
        <is>
          <t>STOCKHOLMS LÄN</t>
        </is>
      </c>
      <c r="G102" t="inlineStr">
        <is>
          <t>NYNÄSHAMN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52950-2024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45610</v>
      </c>
      <c r="E103" s="1" t="n">
        <v>46296</v>
      </c>
      <c r="F103" t="inlineStr">
        <is>
          <t>STOCKHOLMS LÄN</t>
        </is>
      </c>
      <c r="G103" t="inlineStr">
        <is>
          <t>NYNÄSHAMN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51954-2025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45952</v>
      </c>
      <c r="E104" s="1" t="n">
        <v>46296</v>
      </c>
      <c r="F104" t="inlineStr">
        <is>
          <t>STOCKHOLMS LÄN</t>
        </is>
      </c>
      <c r="G104" t="inlineStr">
        <is>
          <t>NYNÄSHAMN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45928</v>
      </c>
      <c r="E105" s="1" t="n">
        <v>46296</v>
      </c>
      <c r="F105" t="inlineStr">
        <is>
          <t>STOCKHOLMS LÄN</t>
        </is>
      </c>
      <c r="G105" t="inlineStr">
        <is>
          <t>NYNÄSHAMN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46296</v>
      </c>
      <c r="F106" t="inlineStr">
        <is>
          <t>STOCKHOLMS LÄN</t>
        </is>
      </c>
      <c r="G106" t="inlineStr">
        <is>
          <t>NYNÄSHAMN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46296</v>
      </c>
      <c r="F107" t="inlineStr">
        <is>
          <t>STOCKHOLMS LÄN</t>
        </is>
      </c>
      <c r="G107" t="inlineStr">
        <is>
          <t>NYNÄSHAMN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46052</v>
      </c>
      <c r="E108" s="1" t="n">
        <v>46296</v>
      </c>
      <c r="F108" t="inlineStr">
        <is>
          <t>STOCKHOLMS LÄN</t>
        </is>
      </c>
      <c r="G108" t="inlineStr">
        <is>
          <t>NYNÄSHAMN</t>
        </is>
      </c>
      <c r="H108" t="inlineStr">
        <is>
          <t>Kyrkan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46296</v>
      </c>
      <c r="F109" t="inlineStr">
        <is>
          <t>STOCKHOLMS LÄN</t>
        </is>
      </c>
      <c r="G109" t="inlineStr">
        <is>
          <t>NYNÄSHAMN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60977-2022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44908</v>
      </c>
      <c r="E110" s="1" t="n">
        <v>46296</v>
      </c>
      <c r="F110" t="inlineStr">
        <is>
          <t>STOCKHOLMS LÄN</t>
        </is>
      </c>
      <c r="G110" t="inlineStr">
        <is>
          <t>NYNÄSHAMN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46170</v>
      </c>
      <c r="E111" s="1" t="n">
        <v>46296</v>
      </c>
      <c r="F111" t="inlineStr">
        <is>
          <t>STOCKHOLMS LÄN</t>
        </is>
      </c>
      <c r="G111" t="inlineStr">
        <is>
          <t>NYNÄSHAMN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12032-2026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46085</v>
      </c>
      <c r="E112" s="1" t="n">
        <v>46296</v>
      </c>
      <c r="F112" t="inlineStr">
        <is>
          <t>STOCKHOLMS LÄN</t>
        </is>
      </c>
      <c r="G112" t="inlineStr">
        <is>
          <t>NYNÄSHAMN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30476-2026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46296</v>
      </c>
      <c r="F113" t="inlineStr">
        <is>
          <t>STOCKHOLMS LÄN</t>
        </is>
      </c>
      <c r="G113" t="inlineStr">
        <is>
          <t>NYNÄSHAMN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46296</v>
      </c>
      <c r="F114" t="inlineStr">
        <is>
          <t>STOCKHOLMS LÄN</t>
        </is>
      </c>
      <c r="G114" t="inlineStr">
        <is>
          <t>NYNÄSHAMN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46237</v>
      </c>
      <c r="E115" s="1" t="n">
        <v>46296</v>
      </c>
      <c r="F115" t="inlineStr">
        <is>
          <t>STOCKHOLMS LÄN</t>
        </is>
      </c>
      <c r="G115" t="inlineStr">
        <is>
          <t>NYNÄSHAMN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46296</v>
      </c>
      <c r="F116" t="inlineStr">
        <is>
          <t>STOCKHOLMS LÄN</t>
        </is>
      </c>
      <c r="G116" t="inlineStr">
        <is>
          <t>NYNÄSHAMN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46296</v>
      </c>
      <c r="F117" t="inlineStr">
        <is>
          <t>STOCKHOLMS LÄN</t>
        </is>
      </c>
      <c r="G117" t="inlineStr">
        <is>
          <t>NYNÄSHAMN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46296</v>
      </c>
      <c r="F118" t="inlineStr">
        <is>
          <t>STOCKHOLMS LÄN</t>
        </is>
      </c>
      <c r="G118" t="inlineStr">
        <is>
          <t>NYNÄSHAMN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46296</v>
      </c>
      <c r="F119" t="inlineStr">
        <is>
          <t>STOCKHOLMS LÄN</t>
        </is>
      </c>
      <c r="G119" t="inlineStr">
        <is>
          <t>NYNÄSHAMN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46296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46296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46296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2026-10-01T02:01:01Z</dcterms:created>
  <dcterms:modified xmlns:dcterms="http://purl.org/dc/terms/" xmlns:xsi="http://www.w3.org/2001/XMLSchema-instance" xsi:type="dcterms:W3CDTF">2026-10-01T02:01:01Z</dcterms:modified>
</cp:coreProperties>
</file>